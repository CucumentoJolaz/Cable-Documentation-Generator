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Cucum\OneDrive\Документы\workspace\cable_documentation_generation\generator\static\generator\xlsx\"/>
    </mc:Choice>
  </mc:AlternateContent>
  <xr:revisionPtr revIDLastSave="0" documentId="13_ncr:1_{628C5401-1607-4078-8097-3C5685E48B83}" xr6:coauthVersionLast="47" xr6:coauthVersionMax="47" xr10:uidLastSave="{00000000-0000-0000-0000-000000000000}"/>
  <bookViews>
    <workbookView xWindow="-120" yWindow="-120" windowWidth="29040" windowHeight="15840" tabRatio="749" xr2:uid="{00000000-000D-0000-FFFF-FFFF00000000}"/>
  </bookViews>
  <sheets>
    <sheet name="Марки" sheetId="1" r:id="rId1"/>
    <sheet name="Промежуточный" sheetId="2" r:id="rId2"/>
    <sheet name="Расчёт" sheetId="3" r:id="rId3"/>
    <sheet name="Б1" sheetId="4" r:id="rId4"/>
    <sheet name="Алюмофлеск" sheetId="5" r:id="rId5"/>
    <sheet name="ПЭТ50" sheetId="6" r:id="rId6"/>
    <sheet name="ПЭТ" sheetId="7" r:id="rId7"/>
    <sheet name="РО_Ц" sheetId="8" r:id="rId8"/>
    <sheet name="РО_П" sheetId="9" r:id="rId9"/>
    <sheet name="РО_М" sheetId="10" r:id="rId10"/>
    <sheet name="Материалы" sheetId="11" r:id="rId11"/>
    <sheet name="слюда" sheetId="12" r:id="rId12"/>
    <sheet name="скрутка" sheetId="13" r:id="rId13"/>
    <sheet name="Генератор" sheetId="14" r:id="rId14"/>
    <sheet name="Версии" sheetId="15" r:id="rId15"/>
    <sheet name="Оборудование" sheetId="16" r:id="rId16"/>
    <sheet name="E001F" sheetId="17" r:id="rId17"/>
    <sheet name="E001E" sheetId="18" r:id="rId18"/>
    <sheet name="E001D" sheetId="19" r:id="rId19"/>
    <sheet name="E001С" sheetId="20" r:id="rId20"/>
    <sheet name="E002B" sheetId="21" r:id="rId21"/>
    <sheet name="E001B" sheetId="22" r:id="rId22"/>
    <sheet name="E001A" sheetId="23" r:id="rId23"/>
    <sheet name="Персонал" sheetId="24" r:id="rId24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7" i="24" l="1"/>
  <c r="G7" i="24" s="1"/>
  <c r="F6" i="24"/>
  <c r="G6" i="24" s="1"/>
  <c r="F5" i="24"/>
  <c r="G5" i="24" s="1"/>
  <c r="F4" i="24"/>
  <c r="G4" i="24" s="1"/>
  <c r="F3" i="24"/>
  <c r="G3" i="24" s="1"/>
  <c r="C4" i="23"/>
  <c r="C5" i="23" s="1"/>
  <c r="C5" i="22"/>
  <c r="C6" i="22" s="1"/>
  <c r="C5" i="21"/>
  <c r="C6" i="21" s="1"/>
  <c r="C5" i="20"/>
  <c r="C5" i="19"/>
  <c r="C4" i="18"/>
  <c r="C4" i="17"/>
  <c r="J9" i="16"/>
  <c r="J8" i="16"/>
  <c r="J7" i="16"/>
  <c r="J6" i="16"/>
  <c r="J5" i="16"/>
  <c r="J4" i="16"/>
  <c r="J3" i="16"/>
  <c r="J9" i="15"/>
  <c r="J8" i="15"/>
  <c r="J7" i="15"/>
  <c r="J6" i="15"/>
  <c r="J5" i="15"/>
  <c r="J4" i="15"/>
  <c r="M3" i="15"/>
  <c r="J3" i="15"/>
  <c r="I7" i="12"/>
  <c r="L7" i="12" s="1"/>
  <c r="I6" i="12"/>
  <c r="L6" i="12" s="1"/>
  <c r="I4" i="12"/>
  <c r="L4" i="12" s="1"/>
  <c r="L3" i="12"/>
  <c r="I3" i="12"/>
  <c r="H13" i="11"/>
  <c r="H12" i="11"/>
  <c r="H11" i="11"/>
  <c r="H10" i="11"/>
  <c r="H9" i="11"/>
  <c r="H8" i="11"/>
  <c r="H7" i="11"/>
  <c r="H6" i="11"/>
  <c r="H5" i="11"/>
  <c r="H4" i="11"/>
  <c r="H3" i="11"/>
  <c r="K33" i="9"/>
  <c r="I28" i="9"/>
  <c r="I25" i="9"/>
  <c r="I20" i="9"/>
  <c r="D13" i="8"/>
  <c r="D12" i="8"/>
  <c r="D11" i="8"/>
  <c r="E11" i="8" s="1"/>
  <c r="D10" i="8"/>
  <c r="E17" i="8" s="1"/>
  <c r="D9" i="8"/>
  <c r="I9" i="8" s="1"/>
  <c r="D8" i="8"/>
  <c r="I8" i="8" s="1"/>
  <c r="D7" i="8"/>
  <c r="I7" i="8" s="1"/>
  <c r="D6" i="8"/>
  <c r="I6" i="8" s="1"/>
  <c r="L207" i="7"/>
  <c r="N207" i="7" s="1"/>
  <c r="O207" i="7" s="1"/>
  <c r="P207" i="7" s="1"/>
  <c r="Q207" i="7" s="1"/>
  <c r="K207" i="7"/>
  <c r="G207" i="7"/>
  <c r="J207" i="7" s="1"/>
  <c r="M207" i="7" s="1"/>
  <c r="E207" i="7"/>
  <c r="H207" i="7" s="1"/>
  <c r="L206" i="7"/>
  <c r="N206" i="7" s="1"/>
  <c r="O206" i="7" s="1"/>
  <c r="P206" i="7" s="1"/>
  <c r="Q206" i="7" s="1"/>
  <c r="G206" i="7"/>
  <c r="J206" i="7" s="1"/>
  <c r="M206" i="7" s="1"/>
  <c r="E206" i="7"/>
  <c r="H206" i="7" s="1"/>
  <c r="L205" i="7"/>
  <c r="N205" i="7" s="1"/>
  <c r="O205" i="7" s="1"/>
  <c r="P205" i="7" s="1"/>
  <c r="Q205" i="7" s="1"/>
  <c r="G205" i="7"/>
  <c r="J205" i="7" s="1"/>
  <c r="M205" i="7" s="1"/>
  <c r="E205" i="7"/>
  <c r="H205" i="7" s="1"/>
  <c r="L204" i="7"/>
  <c r="N204" i="7" s="1"/>
  <c r="O204" i="7" s="1"/>
  <c r="P204" i="7" s="1"/>
  <c r="Q204" i="7" s="1"/>
  <c r="G204" i="7"/>
  <c r="J204" i="7" s="1"/>
  <c r="M204" i="7" s="1"/>
  <c r="E204" i="7"/>
  <c r="L203" i="7"/>
  <c r="N203" i="7" s="1"/>
  <c r="O203" i="7" s="1"/>
  <c r="P203" i="7" s="1"/>
  <c r="Q203" i="7" s="1"/>
  <c r="G203" i="7"/>
  <c r="J203" i="7" s="1"/>
  <c r="M203" i="7" s="1"/>
  <c r="L202" i="7"/>
  <c r="N202" i="7" s="1"/>
  <c r="O202" i="7" s="1"/>
  <c r="P202" i="7" s="1"/>
  <c r="Q202" i="7" s="1"/>
  <c r="G202" i="7"/>
  <c r="J202" i="7" s="1"/>
  <c r="M202" i="7" s="1"/>
  <c r="L201" i="7"/>
  <c r="N201" i="7" s="1"/>
  <c r="O201" i="7" s="1"/>
  <c r="P201" i="7" s="1"/>
  <c r="Q201" i="7" s="1"/>
  <c r="G201" i="7"/>
  <c r="J201" i="7" s="1"/>
  <c r="M201" i="7" s="1"/>
  <c r="L200" i="7"/>
  <c r="N200" i="7" s="1"/>
  <c r="O200" i="7" s="1"/>
  <c r="P200" i="7" s="1"/>
  <c r="Q200" i="7" s="1"/>
  <c r="G200" i="7"/>
  <c r="J200" i="7" s="1"/>
  <c r="M200" i="7" s="1"/>
  <c r="L199" i="7"/>
  <c r="N199" i="7" s="1"/>
  <c r="O199" i="7" s="1"/>
  <c r="P199" i="7" s="1"/>
  <c r="Q199" i="7" s="1"/>
  <c r="G199" i="7"/>
  <c r="J199" i="7" s="1"/>
  <c r="M199" i="7" s="1"/>
  <c r="L198" i="7"/>
  <c r="N198" i="7" s="1"/>
  <c r="O198" i="7" s="1"/>
  <c r="P198" i="7" s="1"/>
  <c r="Q198" i="7" s="1"/>
  <c r="G198" i="7"/>
  <c r="J198" i="7" s="1"/>
  <c r="M198" i="7" s="1"/>
  <c r="L197" i="7"/>
  <c r="N197" i="7" s="1"/>
  <c r="O197" i="7" s="1"/>
  <c r="P197" i="7" s="1"/>
  <c r="Q197" i="7" s="1"/>
  <c r="G197" i="7"/>
  <c r="J197" i="7" s="1"/>
  <c r="M197" i="7" s="1"/>
  <c r="L196" i="7"/>
  <c r="N196" i="7" s="1"/>
  <c r="O196" i="7" s="1"/>
  <c r="P196" i="7" s="1"/>
  <c r="Q196" i="7" s="1"/>
  <c r="G196" i="7"/>
  <c r="J196" i="7" s="1"/>
  <c r="M196" i="7" s="1"/>
  <c r="J195" i="7"/>
  <c r="G195" i="7"/>
  <c r="J194" i="7"/>
  <c r="G194" i="7"/>
  <c r="J193" i="7"/>
  <c r="G193" i="7"/>
  <c r="J192" i="7"/>
  <c r="G192" i="7"/>
  <c r="G191" i="7"/>
  <c r="J191" i="7" s="1"/>
  <c r="G190" i="7"/>
  <c r="J190" i="7" s="1"/>
  <c r="G189" i="7"/>
  <c r="J189" i="7" s="1"/>
  <c r="G188" i="7"/>
  <c r="J188" i="7" s="1"/>
  <c r="G187" i="7"/>
  <c r="J187" i="7" s="1"/>
  <c r="G186" i="7"/>
  <c r="J186" i="7" s="1"/>
  <c r="G185" i="7"/>
  <c r="J185" i="7" s="1"/>
  <c r="G184" i="7"/>
  <c r="J184" i="7" s="1"/>
  <c r="G183" i="7"/>
  <c r="J183" i="7" s="1"/>
  <c r="G182" i="7"/>
  <c r="J182" i="7" s="1"/>
  <c r="G181" i="7"/>
  <c r="J181" i="7" s="1"/>
  <c r="G180" i="7"/>
  <c r="J180" i="7" s="1"/>
  <c r="G179" i="7"/>
  <c r="J179" i="7" s="1"/>
  <c r="G178" i="7"/>
  <c r="J178" i="7" s="1"/>
  <c r="G177" i="7"/>
  <c r="J177" i="7" s="1"/>
  <c r="E177" i="7"/>
  <c r="G176" i="7"/>
  <c r="J176" i="7" s="1"/>
  <c r="E176" i="7" s="1"/>
  <c r="K175" i="7"/>
  <c r="G175" i="7"/>
  <c r="J175" i="7" s="1"/>
  <c r="K174" i="7"/>
  <c r="G174" i="7"/>
  <c r="J174" i="7" s="1"/>
  <c r="E174" i="7"/>
  <c r="G173" i="7"/>
  <c r="J173" i="7" s="1"/>
  <c r="E173" i="7"/>
  <c r="G172" i="7"/>
  <c r="J172" i="7" s="1"/>
  <c r="E172" i="7" s="1"/>
  <c r="K171" i="7"/>
  <c r="G171" i="7"/>
  <c r="J171" i="7" s="1"/>
  <c r="K170" i="7"/>
  <c r="G170" i="7"/>
  <c r="J170" i="7" s="1"/>
  <c r="E170" i="7"/>
  <c r="G169" i="7"/>
  <c r="J169" i="7" s="1"/>
  <c r="E169" i="7"/>
  <c r="G168" i="7"/>
  <c r="J168" i="7" s="1"/>
  <c r="M168" i="7" s="1"/>
  <c r="E168" i="7"/>
  <c r="H168" i="7" s="1"/>
  <c r="G167" i="7"/>
  <c r="J167" i="7" s="1"/>
  <c r="M167" i="7" s="1"/>
  <c r="E167" i="7"/>
  <c r="H167" i="7" s="1"/>
  <c r="J166" i="7"/>
  <c r="M166" i="7" s="1"/>
  <c r="G166" i="7"/>
  <c r="M165" i="7"/>
  <c r="J165" i="7"/>
  <c r="K165" i="7" s="1"/>
  <c r="G165" i="7"/>
  <c r="M164" i="7"/>
  <c r="J164" i="7"/>
  <c r="K164" i="7" s="1"/>
  <c r="G164" i="7"/>
  <c r="M163" i="7"/>
  <c r="J163" i="7"/>
  <c r="K163" i="7" s="1"/>
  <c r="G163" i="7"/>
  <c r="M162" i="7"/>
  <c r="J162" i="7"/>
  <c r="K162" i="7" s="1"/>
  <c r="G162" i="7"/>
  <c r="M161" i="7"/>
  <c r="J161" i="7"/>
  <c r="K161" i="7" s="1"/>
  <c r="G161" i="7"/>
  <c r="M160" i="7"/>
  <c r="J160" i="7"/>
  <c r="K160" i="7" s="1"/>
  <c r="G160" i="7"/>
  <c r="M159" i="7"/>
  <c r="J159" i="7"/>
  <c r="K159" i="7" s="1"/>
  <c r="G159" i="7"/>
  <c r="M158" i="7"/>
  <c r="J158" i="7"/>
  <c r="K158" i="7" s="1"/>
  <c r="G158" i="7"/>
  <c r="M157" i="7"/>
  <c r="J157" i="7"/>
  <c r="K157" i="7" s="1"/>
  <c r="G157" i="7"/>
  <c r="M156" i="7"/>
  <c r="J156" i="7"/>
  <c r="K156" i="7" s="1"/>
  <c r="G156" i="7"/>
  <c r="M155" i="7"/>
  <c r="J155" i="7"/>
  <c r="K155" i="7" s="1"/>
  <c r="G155" i="7"/>
  <c r="M154" i="7"/>
  <c r="J154" i="7"/>
  <c r="K154" i="7" s="1"/>
  <c r="G154" i="7"/>
  <c r="M153" i="7"/>
  <c r="J153" i="7"/>
  <c r="K153" i="7" s="1"/>
  <c r="G153" i="7"/>
  <c r="M152" i="7"/>
  <c r="J152" i="7"/>
  <c r="K152" i="7" s="1"/>
  <c r="G152" i="7"/>
  <c r="M151" i="7"/>
  <c r="J151" i="7"/>
  <c r="K151" i="7" s="1"/>
  <c r="G151" i="7"/>
  <c r="M150" i="7"/>
  <c r="J150" i="7"/>
  <c r="K150" i="7" s="1"/>
  <c r="G150" i="7"/>
  <c r="M149" i="7"/>
  <c r="J149" i="7"/>
  <c r="K149" i="7" s="1"/>
  <c r="G149" i="7"/>
  <c r="M148" i="7"/>
  <c r="J148" i="7"/>
  <c r="K148" i="7" s="1"/>
  <c r="G148" i="7"/>
  <c r="M147" i="7"/>
  <c r="J147" i="7"/>
  <c r="K147" i="7" s="1"/>
  <c r="G147" i="7"/>
  <c r="M146" i="7"/>
  <c r="J146" i="7"/>
  <c r="K146" i="7" s="1"/>
  <c r="G146" i="7"/>
  <c r="M145" i="7"/>
  <c r="J145" i="7"/>
  <c r="K145" i="7" s="1"/>
  <c r="G145" i="7"/>
  <c r="M144" i="7"/>
  <c r="J144" i="7"/>
  <c r="K144" i="7" s="1"/>
  <c r="G144" i="7"/>
  <c r="M143" i="7"/>
  <c r="J143" i="7"/>
  <c r="K143" i="7" s="1"/>
  <c r="G143" i="7"/>
  <c r="J142" i="7"/>
  <c r="G142" i="7"/>
  <c r="M141" i="7"/>
  <c r="J141" i="7"/>
  <c r="G141" i="7"/>
  <c r="J140" i="7"/>
  <c r="M140" i="7" s="1"/>
  <c r="G140" i="7"/>
  <c r="J139" i="7"/>
  <c r="G139" i="7"/>
  <c r="J138" i="7"/>
  <c r="G138" i="7"/>
  <c r="J137" i="7"/>
  <c r="G137" i="7"/>
  <c r="J136" i="7"/>
  <c r="G136" i="7"/>
  <c r="J135" i="7"/>
  <c r="G135" i="7"/>
  <c r="J134" i="7"/>
  <c r="G134" i="7"/>
  <c r="J133" i="7"/>
  <c r="K133" i="7" s="1"/>
  <c r="G133" i="7"/>
  <c r="J132" i="7"/>
  <c r="L132" i="7" s="1"/>
  <c r="G132" i="7"/>
  <c r="J131" i="7"/>
  <c r="L131" i="7" s="1"/>
  <c r="G131" i="7"/>
  <c r="J130" i="7"/>
  <c r="L130" i="7" s="1"/>
  <c r="G130" i="7"/>
  <c r="J129" i="7"/>
  <c r="L129" i="7" s="1"/>
  <c r="G129" i="7"/>
  <c r="J128" i="7"/>
  <c r="L128" i="7" s="1"/>
  <c r="G128" i="7"/>
  <c r="J127" i="7"/>
  <c r="L127" i="7" s="1"/>
  <c r="G127" i="7"/>
  <c r="J126" i="7"/>
  <c r="L126" i="7" s="1"/>
  <c r="G126" i="7"/>
  <c r="J125" i="7"/>
  <c r="L125" i="7" s="1"/>
  <c r="G125" i="7"/>
  <c r="J124" i="7"/>
  <c r="L124" i="7" s="1"/>
  <c r="G124" i="7"/>
  <c r="J123" i="7"/>
  <c r="L123" i="7" s="1"/>
  <c r="G123" i="7"/>
  <c r="J122" i="7"/>
  <c r="L122" i="7" s="1"/>
  <c r="G122" i="7"/>
  <c r="J121" i="7"/>
  <c r="L121" i="7" s="1"/>
  <c r="G121" i="7"/>
  <c r="J120" i="7"/>
  <c r="L120" i="7" s="1"/>
  <c r="G120" i="7"/>
  <c r="J119" i="7"/>
  <c r="L119" i="7" s="1"/>
  <c r="G119" i="7"/>
  <c r="J118" i="7"/>
  <c r="L118" i="7" s="1"/>
  <c r="G118" i="7"/>
  <c r="J117" i="7"/>
  <c r="L117" i="7" s="1"/>
  <c r="G117" i="7"/>
  <c r="J116" i="7"/>
  <c r="L116" i="7" s="1"/>
  <c r="G116" i="7"/>
  <c r="J115" i="7"/>
  <c r="L115" i="7" s="1"/>
  <c r="G115" i="7"/>
  <c r="J114" i="7"/>
  <c r="L114" i="7" s="1"/>
  <c r="G114" i="7"/>
  <c r="J113" i="7"/>
  <c r="L113" i="7" s="1"/>
  <c r="G113" i="7"/>
  <c r="J112" i="7"/>
  <c r="L112" i="7" s="1"/>
  <c r="G112" i="7"/>
  <c r="J111" i="7"/>
  <c r="L111" i="7" s="1"/>
  <c r="G111" i="7"/>
  <c r="J110" i="7"/>
  <c r="L110" i="7" s="1"/>
  <c r="G110" i="7"/>
  <c r="J109" i="7"/>
  <c r="G109" i="7"/>
  <c r="J108" i="7"/>
  <c r="G108" i="7"/>
  <c r="J107" i="7"/>
  <c r="G107" i="7"/>
  <c r="J106" i="7"/>
  <c r="G106" i="7"/>
  <c r="J105" i="7"/>
  <c r="G105" i="7"/>
  <c r="G104" i="7"/>
  <c r="J104" i="7" s="1"/>
  <c r="G103" i="7"/>
  <c r="J103" i="7" s="1"/>
  <c r="G102" i="7"/>
  <c r="J102" i="7" s="1"/>
  <c r="G101" i="7"/>
  <c r="J101" i="7" s="1"/>
  <c r="G100" i="7"/>
  <c r="J100" i="7" s="1"/>
  <c r="G99" i="7"/>
  <c r="J99" i="7" s="1"/>
  <c r="G98" i="7"/>
  <c r="J98" i="7" s="1"/>
  <c r="G97" i="7"/>
  <c r="J97" i="7" s="1"/>
  <c r="G96" i="7"/>
  <c r="J96" i="7" s="1"/>
  <c r="G95" i="7"/>
  <c r="J95" i="7" s="1"/>
  <c r="G94" i="7"/>
  <c r="J94" i="7" s="1"/>
  <c r="G93" i="7"/>
  <c r="J93" i="7" s="1"/>
  <c r="G92" i="7"/>
  <c r="J92" i="7" s="1"/>
  <c r="G91" i="7"/>
  <c r="J91" i="7" s="1"/>
  <c r="G90" i="7"/>
  <c r="J90" i="7" s="1"/>
  <c r="G89" i="7"/>
  <c r="J89" i="7" s="1"/>
  <c r="G88" i="7"/>
  <c r="J88" i="7" s="1"/>
  <c r="G87" i="7"/>
  <c r="J87" i="7" s="1"/>
  <c r="G86" i="7"/>
  <c r="J86" i="7" s="1"/>
  <c r="G85" i="7"/>
  <c r="J85" i="7" s="1"/>
  <c r="G84" i="7"/>
  <c r="J84" i="7" s="1"/>
  <c r="G83" i="7"/>
  <c r="J83" i="7" s="1"/>
  <c r="G82" i="7"/>
  <c r="J82" i="7" s="1"/>
  <c r="G81" i="7"/>
  <c r="J81" i="7" s="1"/>
  <c r="G80" i="7"/>
  <c r="J80" i="7" s="1"/>
  <c r="G79" i="7"/>
  <c r="J79" i="7" s="1"/>
  <c r="G78" i="7"/>
  <c r="J78" i="7" s="1"/>
  <c r="G77" i="7"/>
  <c r="J77" i="7" s="1"/>
  <c r="G76" i="7"/>
  <c r="J76" i="7" s="1"/>
  <c r="G75" i="7"/>
  <c r="J75" i="7" s="1"/>
  <c r="G74" i="7"/>
  <c r="J74" i="7" s="1"/>
  <c r="G73" i="7"/>
  <c r="J73" i="7" s="1"/>
  <c r="G72" i="7"/>
  <c r="J72" i="7" s="1"/>
  <c r="G71" i="7"/>
  <c r="J71" i="7" s="1"/>
  <c r="G70" i="7"/>
  <c r="J70" i="7" s="1"/>
  <c r="G69" i="7"/>
  <c r="J69" i="7" s="1"/>
  <c r="G68" i="7"/>
  <c r="J68" i="7" s="1"/>
  <c r="G67" i="7"/>
  <c r="J67" i="7" s="1"/>
  <c r="G66" i="7"/>
  <c r="J66" i="7" s="1"/>
  <c r="G65" i="7"/>
  <c r="J65" i="7" s="1"/>
  <c r="G64" i="7"/>
  <c r="J64" i="7" s="1"/>
  <c r="G63" i="7"/>
  <c r="J63" i="7" s="1"/>
  <c r="G62" i="7"/>
  <c r="J62" i="7" s="1"/>
  <c r="G61" i="7"/>
  <c r="J61" i="7" s="1"/>
  <c r="L60" i="7"/>
  <c r="S60" i="7" s="1"/>
  <c r="U60" i="7" s="1"/>
  <c r="W60" i="7" s="1"/>
  <c r="J60" i="7"/>
  <c r="G60" i="7"/>
  <c r="J59" i="7"/>
  <c r="G59" i="7"/>
  <c r="J58" i="7"/>
  <c r="K58" i="7" s="1"/>
  <c r="G58" i="7"/>
  <c r="J57" i="7"/>
  <c r="L57" i="7" s="1"/>
  <c r="G57" i="7"/>
  <c r="J56" i="7"/>
  <c r="L56" i="7" s="1"/>
  <c r="G56" i="7"/>
  <c r="J55" i="7"/>
  <c r="L55" i="7" s="1"/>
  <c r="G55" i="7"/>
  <c r="J54" i="7"/>
  <c r="L54" i="7" s="1"/>
  <c r="G54" i="7"/>
  <c r="J53" i="7"/>
  <c r="L53" i="7" s="1"/>
  <c r="G53" i="7"/>
  <c r="J52" i="7"/>
  <c r="L52" i="7" s="1"/>
  <c r="G52" i="7"/>
  <c r="J51" i="7"/>
  <c r="L51" i="7" s="1"/>
  <c r="G51" i="7"/>
  <c r="J50" i="7"/>
  <c r="L50" i="7" s="1"/>
  <c r="G50" i="7"/>
  <c r="J49" i="7"/>
  <c r="L49" i="7" s="1"/>
  <c r="G49" i="7"/>
  <c r="J48" i="7"/>
  <c r="L48" i="7" s="1"/>
  <c r="G48" i="7"/>
  <c r="J47" i="7"/>
  <c r="L47" i="7" s="1"/>
  <c r="G47" i="7"/>
  <c r="J46" i="7"/>
  <c r="L46" i="7" s="1"/>
  <c r="G46" i="7"/>
  <c r="J45" i="7"/>
  <c r="L45" i="7" s="1"/>
  <c r="G45" i="7"/>
  <c r="J44" i="7"/>
  <c r="L44" i="7" s="1"/>
  <c r="G44" i="7"/>
  <c r="J43" i="7"/>
  <c r="L43" i="7" s="1"/>
  <c r="G43" i="7"/>
  <c r="J42" i="7"/>
  <c r="L42" i="7" s="1"/>
  <c r="G42" i="7"/>
  <c r="J41" i="7"/>
  <c r="L41" i="7" s="1"/>
  <c r="G41" i="7"/>
  <c r="J40" i="7"/>
  <c r="L40" i="7" s="1"/>
  <c r="G40" i="7"/>
  <c r="J39" i="7"/>
  <c r="L39" i="7" s="1"/>
  <c r="G39" i="7"/>
  <c r="J38" i="7"/>
  <c r="L38" i="7" s="1"/>
  <c r="G38" i="7"/>
  <c r="J37" i="7"/>
  <c r="L37" i="7" s="1"/>
  <c r="G37" i="7"/>
  <c r="J36" i="7"/>
  <c r="L36" i="7" s="1"/>
  <c r="G36" i="7"/>
  <c r="J35" i="7"/>
  <c r="L35" i="7" s="1"/>
  <c r="G35" i="7"/>
  <c r="J34" i="7"/>
  <c r="L34" i="7" s="1"/>
  <c r="G34" i="7"/>
  <c r="J33" i="7"/>
  <c r="L33" i="7" s="1"/>
  <c r="G33" i="7"/>
  <c r="J32" i="7"/>
  <c r="L32" i="7" s="1"/>
  <c r="G32" i="7"/>
  <c r="J31" i="7"/>
  <c r="L31" i="7" s="1"/>
  <c r="G31" i="7"/>
  <c r="J30" i="7"/>
  <c r="L30" i="7" s="1"/>
  <c r="G30" i="7"/>
  <c r="J29" i="7"/>
  <c r="L29" i="7" s="1"/>
  <c r="G29" i="7"/>
  <c r="J28" i="7"/>
  <c r="L28" i="7" s="1"/>
  <c r="G28" i="7"/>
  <c r="J27" i="7"/>
  <c r="L27" i="7" s="1"/>
  <c r="G27" i="7"/>
  <c r="J26" i="7"/>
  <c r="L26" i="7" s="1"/>
  <c r="G26" i="7"/>
  <c r="J25" i="7"/>
  <c r="L25" i="7" s="1"/>
  <c r="G25" i="7"/>
  <c r="J24" i="7"/>
  <c r="L24" i="7" s="1"/>
  <c r="G24" i="7"/>
  <c r="J23" i="7"/>
  <c r="G23" i="7"/>
  <c r="J22" i="7"/>
  <c r="G22" i="7"/>
  <c r="J21" i="7"/>
  <c r="G21" i="7"/>
  <c r="J20" i="7"/>
  <c r="G20" i="7"/>
  <c r="J19" i="7"/>
  <c r="G19" i="7"/>
  <c r="J18" i="7"/>
  <c r="G18" i="7"/>
  <c r="J17" i="7"/>
  <c r="G17" i="7"/>
  <c r="J16" i="7"/>
  <c r="G16" i="7"/>
  <c r="J15" i="7"/>
  <c r="G15" i="7"/>
  <c r="J14" i="7"/>
  <c r="G14" i="7"/>
  <c r="J13" i="7"/>
  <c r="G13" i="7"/>
  <c r="J12" i="7"/>
  <c r="G12" i="7"/>
  <c r="J11" i="7"/>
  <c r="G11" i="7"/>
  <c r="J10" i="7"/>
  <c r="G10" i="7"/>
  <c r="J9" i="7"/>
  <c r="G9" i="7"/>
  <c r="X207" i="6"/>
  <c r="G207" i="6"/>
  <c r="J207" i="6" s="1"/>
  <c r="X206" i="6"/>
  <c r="J206" i="6"/>
  <c r="G206" i="6"/>
  <c r="X205" i="6"/>
  <c r="J205" i="6"/>
  <c r="G205" i="6"/>
  <c r="X204" i="6"/>
  <c r="K204" i="6"/>
  <c r="J204" i="6"/>
  <c r="M204" i="6" s="1"/>
  <c r="G204" i="6"/>
  <c r="E204" i="6"/>
  <c r="H204" i="6" s="1"/>
  <c r="X203" i="6"/>
  <c r="L203" i="6"/>
  <c r="G203" i="6"/>
  <c r="J203" i="6" s="1"/>
  <c r="X202" i="6"/>
  <c r="G202" i="6"/>
  <c r="J202" i="6" s="1"/>
  <c r="M202" i="6" s="1"/>
  <c r="X201" i="6"/>
  <c r="J201" i="6"/>
  <c r="G201" i="6"/>
  <c r="X200" i="6"/>
  <c r="K200" i="6"/>
  <c r="J200" i="6"/>
  <c r="M200" i="6" s="1"/>
  <c r="G200" i="6"/>
  <c r="E200" i="6"/>
  <c r="H200" i="6" s="1"/>
  <c r="X199" i="6"/>
  <c r="L199" i="6"/>
  <c r="G199" i="6"/>
  <c r="J199" i="6" s="1"/>
  <c r="X198" i="6"/>
  <c r="M198" i="6"/>
  <c r="G198" i="6"/>
  <c r="J198" i="6" s="1"/>
  <c r="X197" i="6"/>
  <c r="J197" i="6"/>
  <c r="G197" i="6"/>
  <c r="X196" i="6"/>
  <c r="K196" i="6"/>
  <c r="J196" i="6"/>
  <c r="M196" i="6" s="1"/>
  <c r="G196" i="6"/>
  <c r="E196" i="6"/>
  <c r="H196" i="6" s="1"/>
  <c r="X195" i="6"/>
  <c r="L195" i="6"/>
  <c r="G195" i="6"/>
  <c r="J195" i="6" s="1"/>
  <c r="X194" i="6"/>
  <c r="M194" i="6"/>
  <c r="G194" i="6"/>
  <c r="J194" i="6" s="1"/>
  <c r="X193" i="6"/>
  <c r="J193" i="6"/>
  <c r="G193" i="6"/>
  <c r="X192" i="6"/>
  <c r="K192" i="6"/>
  <c r="J192" i="6"/>
  <c r="M192" i="6" s="1"/>
  <c r="G192" i="6"/>
  <c r="E192" i="6"/>
  <c r="H192" i="6" s="1"/>
  <c r="X191" i="6"/>
  <c r="L191" i="6"/>
  <c r="G191" i="6"/>
  <c r="J191" i="6" s="1"/>
  <c r="X190" i="6"/>
  <c r="M190" i="6"/>
  <c r="G190" i="6"/>
  <c r="J190" i="6" s="1"/>
  <c r="X189" i="6"/>
  <c r="J189" i="6"/>
  <c r="G189" i="6"/>
  <c r="X188" i="6"/>
  <c r="K188" i="6"/>
  <c r="J188" i="6"/>
  <c r="M188" i="6" s="1"/>
  <c r="G188" i="6"/>
  <c r="E188" i="6"/>
  <c r="H188" i="6" s="1"/>
  <c r="X187" i="6"/>
  <c r="L187" i="6"/>
  <c r="G187" i="6"/>
  <c r="J187" i="6" s="1"/>
  <c r="X186" i="6"/>
  <c r="M186" i="6"/>
  <c r="G186" i="6"/>
  <c r="J186" i="6" s="1"/>
  <c r="X185" i="6"/>
  <c r="J185" i="6"/>
  <c r="G185" i="6"/>
  <c r="X184" i="6"/>
  <c r="K184" i="6"/>
  <c r="J184" i="6"/>
  <c r="M184" i="6" s="1"/>
  <c r="G184" i="6"/>
  <c r="E184" i="6"/>
  <c r="H184" i="6" s="1"/>
  <c r="X183" i="6"/>
  <c r="L183" i="6"/>
  <c r="G183" i="6"/>
  <c r="J183" i="6" s="1"/>
  <c r="X182" i="6"/>
  <c r="M182" i="6"/>
  <c r="G182" i="6"/>
  <c r="J182" i="6" s="1"/>
  <c r="X181" i="6"/>
  <c r="J181" i="6"/>
  <c r="G181" i="6"/>
  <c r="X180" i="6"/>
  <c r="K180" i="6"/>
  <c r="J180" i="6"/>
  <c r="M180" i="6" s="1"/>
  <c r="G180" i="6"/>
  <c r="E180" i="6"/>
  <c r="H180" i="6" s="1"/>
  <c r="X179" i="6"/>
  <c r="L179" i="6"/>
  <c r="G179" i="6"/>
  <c r="J179" i="6" s="1"/>
  <c r="X178" i="6"/>
  <c r="M178" i="6"/>
  <c r="G178" i="6"/>
  <c r="J178" i="6" s="1"/>
  <c r="X177" i="6"/>
  <c r="J177" i="6"/>
  <c r="G177" i="6"/>
  <c r="X176" i="6"/>
  <c r="K176" i="6"/>
  <c r="J176" i="6"/>
  <c r="M176" i="6" s="1"/>
  <c r="G176" i="6"/>
  <c r="E176" i="6"/>
  <c r="H176" i="6" s="1"/>
  <c r="X175" i="6"/>
  <c r="L175" i="6"/>
  <c r="G175" i="6"/>
  <c r="J175" i="6" s="1"/>
  <c r="X174" i="6"/>
  <c r="M174" i="6"/>
  <c r="G174" i="6"/>
  <c r="J174" i="6" s="1"/>
  <c r="X173" i="6"/>
  <c r="J173" i="6"/>
  <c r="G173" i="6"/>
  <c r="X172" i="6"/>
  <c r="K172" i="6"/>
  <c r="J172" i="6"/>
  <c r="M172" i="6" s="1"/>
  <c r="G172" i="6"/>
  <c r="E172" i="6"/>
  <c r="H172" i="6" s="1"/>
  <c r="X171" i="6"/>
  <c r="L171" i="6"/>
  <c r="G171" i="6"/>
  <c r="J171" i="6" s="1"/>
  <c r="X170" i="6"/>
  <c r="M170" i="6"/>
  <c r="G170" i="6"/>
  <c r="J170" i="6" s="1"/>
  <c r="X169" i="6"/>
  <c r="J169" i="6"/>
  <c r="G169" i="6"/>
  <c r="X168" i="6"/>
  <c r="K168" i="6"/>
  <c r="J168" i="6"/>
  <c r="M168" i="6" s="1"/>
  <c r="G168" i="6"/>
  <c r="E168" i="6"/>
  <c r="H168" i="6" s="1"/>
  <c r="X167" i="6"/>
  <c r="K167" i="6"/>
  <c r="G167" i="6"/>
  <c r="J167" i="6" s="1"/>
  <c r="M167" i="6" s="1"/>
  <c r="X166" i="6"/>
  <c r="M166" i="6"/>
  <c r="L166" i="6"/>
  <c r="G166" i="6"/>
  <c r="J166" i="6" s="1"/>
  <c r="X165" i="6"/>
  <c r="M165" i="6"/>
  <c r="J165" i="6"/>
  <c r="G165" i="6"/>
  <c r="X164" i="6"/>
  <c r="K164" i="6"/>
  <c r="J164" i="6"/>
  <c r="L164" i="6" s="1"/>
  <c r="N164" i="6" s="1"/>
  <c r="O164" i="6" s="1"/>
  <c r="P164" i="6" s="1"/>
  <c r="Q164" i="6" s="1"/>
  <c r="G164" i="6"/>
  <c r="E164" i="6"/>
  <c r="X163" i="6"/>
  <c r="J163" i="6"/>
  <c r="L163" i="6" s="1"/>
  <c r="G163" i="6"/>
  <c r="X162" i="6"/>
  <c r="K162" i="6"/>
  <c r="J162" i="6"/>
  <c r="M162" i="6" s="1"/>
  <c r="G162" i="6"/>
  <c r="E162" i="6"/>
  <c r="H162" i="6" s="1"/>
  <c r="X161" i="6"/>
  <c r="G161" i="6"/>
  <c r="J161" i="6" s="1"/>
  <c r="X160" i="6"/>
  <c r="G160" i="6"/>
  <c r="J160" i="6" s="1"/>
  <c r="X159" i="6"/>
  <c r="J159" i="6"/>
  <c r="L159" i="6" s="1"/>
  <c r="G159" i="6"/>
  <c r="X158" i="6"/>
  <c r="K158" i="6"/>
  <c r="J158" i="6"/>
  <c r="M158" i="6" s="1"/>
  <c r="G158" i="6"/>
  <c r="E158" i="6"/>
  <c r="H158" i="6" s="1"/>
  <c r="X157" i="6"/>
  <c r="G157" i="6"/>
  <c r="J157" i="6" s="1"/>
  <c r="X156" i="6"/>
  <c r="G156" i="6"/>
  <c r="J156" i="6" s="1"/>
  <c r="X155" i="6"/>
  <c r="J155" i="6"/>
  <c r="L155" i="6" s="1"/>
  <c r="G155" i="6"/>
  <c r="X154" i="6"/>
  <c r="K154" i="6"/>
  <c r="J154" i="6"/>
  <c r="M154" i="6" s="1"/>
  <c r="G154" i="6"/>
  <c r="E154" i="6"/>
  <c r="X153" i="6"/>
  <c r="G153" i="6"/>
  <c r="J153" i="6" s="1"/>
  <c r="X152" i="6"/>
  <c r="G152" i="6"/>
  <c r="J152" i="6" s="1"/>
  <c r="X151" i="6"/>
  <c r="J151" i="6"/>
  <c r="L151" i="6" s="1"/>
  <c r="G151" i="6"/>
  <c r="X150" i="6"/>
  <c r="K150" i="6"/>
  <c r="J150" i="6"/>
  <c r="M150" i="6" s="1"/>
  <c r="G150" i="6"/>
  <c r="E150" i="6"/>
  <c r="X149" i="6"/>
  <c r="G149" i="6"/>
  <c r="J149" i="6" s="1"/>
  <c r="X148" i="6"/>
  <c r="G148" i="6"/>
  <c r="J148" i="6" s="1"/>
  <c r="X147" i="6"/>
  <c r="J147" i="6"/>
  <c r="L147" i="6" s="1"/>
  <c r="G147" i="6"/>
  <c r="X146" i="6"/>
  <c r="K146" i="6"/>
  <c r="J146" i="6"/>
  <c r="M146" i="6" s="1"/>
  <c r="G146" i="6"/>
  <c r="E146" i="6"/>
  <c r="X145" i="6"/>
  <c r="G145" i="6"/>
  <c r="J145" i="6" s="1"/>
  <c r="X144" i="6"/>
  <c r="G144" i="6"/>
  <c r="J144" i="6" s="1"/>
  <c r="X143" i="6"/>
  <c r="J143" i="6"/>
  <c r="L143" i="6" s="1"/>
  <c r="G143" i="6"/>
  <c r="X142" i="6"/>
  <c r="K142" i="6"/>
  <c r="J142" i="6"/>
  <c r="M142" i="6" s="1"/>
  <c r="G142" i="6"/>
  <c r="E142" i="6"/>
  <c r="X141" i="6"/>
  <c r="G141" i="6"/>
  <c r="J141" i="6" s="1"/>
  <c r="X140" i="6"/>
  <c r="G140" i="6"/>
  <c r="J140" i="6" s="1"/>
  <c r="X139" i="6"/>
  <c r="J139" i="6"/>
  <c r="L139" i="6" s="1"/>
  <c r="G139" i="6"/>
  <c r="X138" i="6"/>
  <c r="K138" i="6"/>
  <c r="J138" i="6"/>
  <c r="M138" i="6" s="1"/>
  <c r="G138" i="6"/>
  <c r="E138" i="6"/>
  <c r="X137" i="6"/>
  <c r="G137" i="6"/>
  <c r="J137" i="6" s="1"/>
  <c r="X136" i="6"/>
  <c r="G136" i="6"/>
  <c r="J136" i="6" s="1"/>
  <c r="X135" i="6"/>
  <c r="J135" i="6"/>
  <c r="L135" i="6" s="1"/>
  <c r="G135" i="6"/>
  <c r="X134" i="6"/>
  <c r="K134" i="6"/>
  <c r="J134" i="6"/>
  <c r="M134" i="6" s="1"/>
  <c r="G134" i="6"/>
  <c r="E134" i="6"/>
  <c r="X133" i="6"/>
  <c r="G133" i="6"/>
  <c r="J133" i="6" s="1"/>
  <c r="X132" i="6"/>
  <c r="G132" i="6"/>
  <c r="J132" i="6" s="1"/>
  <c r="X131" i="6"/>
  <c r="J131" i="6"/>
  <c r="L131" i="6" s="1"/>
  <c r="G131" i="6"/>
  <c r="X130" i="6"/>
  <c r="K130" i="6"/>
  <c r="J130" i="6"/>
  <c r="M130" i="6" s="1"/>
  <c r="G130" i="6"/>
  <c r="E130" i="6"/>
  <c r="X129" i="6"/>
  <c r="G129" i="6"/>
  <c r="J129" i="6" s="1"/>
  <c r="X128" i="6"/>
  <c r="G128" i="6"/>
  <c r="J128" i="6" s="1"/>
  <c r="X127" i="6"/>
  <c r="J127" i="6"/>
  <c r="L127" i="6" s="1"/>
  <c r="G127" i="6"/>
  <c r="X126" i="6"/>
  <c r="K126" i="6"/>
  <c r="J126" i="6"/>
  <c r="M126" i="6" s="1"/>
  <c r="G126" i="6"/>
  <c r="E126" i="6"/>
  <c r="X125" i="6"/>
  <c r="G125" i="6"/>
  <c r="J125" i="6" s="1"/>
  <c r="X124" i="6"/>
  <c r="G124" i="6"/>
  <c r="J124" i="6" s="1"/>
  <c r="X123" i="6"/>
  <c r="J123" i="6"/>
  <c r="L123" i="6" s="1"/>
  <c r="G123" i="6"/>
  <c r="X122" i="6"/>
  <c r="K122" i="6"/>
  <c r="J122" i="6"/>
  <c r="M122" i="6" s="1"/>
  <c r="G122" i="6"/>
  <c r="E122" i="6"/>
  <c r="X121" i="6"/>
  <c r="G121" i="6"/>
  <c r="J121" i="6" s="1"/>
  <c r="X120" i="6"/>
  <c r="G120" i="6"/>
  <c r="J120" i="6" s="1"/>
  <c r="X119" i="6"/>
  <c r="J119" i="6"/>
  <c r="L119" i="6" s="1"/>
  <c r="G119" i="6"/>
  <c r="X118" i="6"/>
  <c r="K118" i="6"/>
  <c r="J118" i="6"/>
  <c r="M118" i="6" s="1"/>
  <c r="G118" i="6"/>
  <c r="E118" i="6"/>
  <c r="X117" i="6"/>
  <c r="G117" i="6"/>
  <c r="J117" i="6" s="1"/>
  <c r="X116" i="6"/>
  <c r="G116" i="6"/>
  <c r="J116" i="6" s="1"/>
  <c r="X115" i="6"/>
  <c r="J115" i="6"/>
  <c r="L115" i="6" s="1"/>
  <c r="G115" i="6"/>
  <c r="X114" i="6"/>
  <c r="K114" i="6"/>
  <c r="J114" i="6"/>
  <c r="M114" i="6" s="1"/>
  <c r="G114" i="6"/>
  <c r="E114" i="6"/>
  <c r="X113" i="6"/>
  <c r="G113" i="6"/>
  <c r="J113" i="6" s="1"/>
  <c r="X112" i="6"/>
  <c r="M112" i="6"/>
  <c r="G112" i="6"/>
  <c r="J112" i="6" s="1"/>
  <c r="X111" i="6"/>
  <c r="J111" i="6"/>
  <c r="G111" i="6"/>
  <c r="X110" i="6"/>
  <c r="K110" i="6"/>
  <c r="J110" i="6"/>
  <c r="M110" i="6" s="1"/>
  <c r="G110" i="6"/>
  <c r="E110" i="6"/>
  <c r="X109" i="6"/>
  <c r="G109" i="6"/>
  <c r="J109" i="6" s="1"/>
  <c r="L109" i="6" s="1"/>
  <c r="X108" i="6"/>
  <c r="M108" i="6"/>
  <c r="G108" i="6"/>
  <c r="J108" i="6" s="1"/>
  <c r="X107" i="6"/>
  <c r="J107" i="6"/>
  <c r="G107" i="6"/>
  <c r="X106" i="6"/>
  <c r="K106" i="6"/>
  <c r="J106" i="6"/>
  <c r="M106" i="6" s="1"/>
  <c r="G106" i="6"/>
  <c r="E106" i="6"/>
  <c r="X105" i="6"/>
  <c r="G105" i="6"/>
  <c r="J105" i="6" s="1"/>
  <c r="L105" i="6" s="1"/>
  <c r="X104" i="6"/>
  <c r="M104" i="6"/>
  <c r="G104" i="6"/>
  <c r="J104" i="6" s="1"/>
  <c r="X103" i="6"/>
  <c r="J103" i="6"/>
  <c r="G103" i="6"/>
  <c r="X102" i="6"/>
  <c r="K102" i="6"/>
  <c r="J102" i="6"/>
  <c r="M102" i="6" s="1"/>
  <c r="G102" i="6"/>
  <c r="E102" i="6"/>
  <c r="X101" i="6"/>
  <c r="G101" i="6"/>
  <c r="J101" i="6" s="1"/>
  <c r="L101" i="6" s="1"/>
  <c r="X100" i="6"/>
  <c r="M100" i="6"/>
  <c r="G100" i="6"/>
  <c r="J100" i="6" s="1"/>
  <c r="X99" i="6"/>
  <c r="J99" i="6"/>
  <c r="G99" i="6"/>
  <c r="X98" i="6"/>
  <c r="K98" i="6"/>
  <c r="J98" i="6"/>
  <c r="E98" i="6" s="1"/>
  <c r="G98" i="6"/>
  <c r="X97" i="6"/>
  <c r="G97" i="6"/>
  <c r="J97" i="6" s="1"/>
  <c r="M97" i="6" s="1"/>
  <c r="X96" i="6"/>
  <c r="L96" i="6"/>
  <c r="G96" i="6"/>
  <c r="J96" i="6" s="1"/>
  <c r="M96" i="6" s="1"/>
  <c r="X95" i="6"/>
  <c r="M95" i="6"/>
  <c r="J95" i="6"/>
  <c r="G95" i="6"/>
  <c r="X94" i="6"/>
  <c r="K94" i="6"/>
  <c r="J94" i="6"/>
  <c r="G94" i="6"/>
  <c r="E94" i="6"/>
  <c r="X93" i="6"/>
  <c r="L93" i="6"/>
  <c r="N93" i="6" s="1"/>
  <c r="O93" i="6" s="1"/>
  <c r="P93" i="6" s="1"/>
  <c r="Q93" i="6" s="1"/>
  <c r="G93" i="6"/>
  <c r="J93" i="6" s="1"/>
  <c r="M93" i="6" s="1"/>
  <c r="X92" i="6"/>
  <c r="G92" i="6"/>
  <c r="J92" i="6" s="1"/>
  <c r="M92" i="6" s="1"/>
  <c r="X91" i="6"/>
  <c r="M91" i="6"/>
  <c r="J91" i="6"/>
  <c r="G91" i="6"/>
  <c r="X90" i="6"/>
  <c r="K90" i="6"/>
  <c r="J90" i="6"/>
  <c r="E90" i="6" s="1"/>
  <c r="G90" i="6"/>
  <c r="X89" i="6"/>
  <c r="L89" i="6"/>
  <c r="N89" i="6" s="1"/>
  <c r="O89" i="6" s="1"/>
  <c r="P89" i="6" s="1"/>
  <c r="Q89" i="6" s="1"/>
  <c r="H89" i="6"/>
  <c r="G89" i="6"/>
  <c r="J89" i="6" s="1"/>
  <c r="M89" i="6" s="1"/>
  <c r="E89" i="6"/>
  <c r="X88" i="6"/>
  <c r="J88" i="6"/>
  <c r="M88" i="6" s="1"/>
  <c r="G88" i="6"/>
  <c r="X87" i="6"/>
  <c r="S87" i="6"/>
  <c r="U87" i="6" s="1"/>
  <c r="W87" i="6" s="1"/>
  <c r="N87" i="6"/>
  <c r="O87" i="6" s="1"/>
  <c r="P87" i="6" s="1"/>
  <c r="Q87" i="6" s="1"/>
  <c r="K87" i="6"/>
  <c r="J87" i="6"/>
  <c r="L87" i="6" s="1"/>
  <c r="G87" i="6"/>
  <c r="E87" i="6"/>
  <c r="X86" i="6"/>
  <c r="G86" i="6"/>
  <c r="J86" i="6" s="1"/>
  <c r="X85" i="6"/>
  <c r="K85" i="6"/>
  <c r="G85" i="6"/>
  <c r="J85" i="6" s="1"/>
  <c r="M85" i="6" s="1"/>
  <c r="X84" i="6"/>
  <c r="L84" i="6"/>
  <c r="S84" i="6" s="1"/>
  <c r="U84" i="6" s="1"/>
  <c r="W84" i="6" s="1"/>
  <c r="J84" i="6"/>
  <c r="M84" i="6" s="1"/>
  <c r="G84" i="6"/>
  <c r="X83" i="6"/>
  <c r="G83" i="6"/>
  <c r="J83" i="6" s="1"/>
  <c r="X82" i="6"/>
  <c r="J82" i="6"/>
  <c r="M82" i="6" s="1"/>
  <c r="G82" i="6"/>
  <c r="X81" i="6"/>
  <c r="M81" i="6"/>
  <c r="K81" i="6"/>
  <c r="J81" i="6"/>
  <c r="L81" i="6" s="1"/>
  <c r="G81" i="6"/>
  <c r="E81" i="6"/>
  <c r="H81" i="6" s="1"/>
  <c r="X80" i="6"/>
  <c r="G80" i="6"/>
  <c r="J80" i="6" s="1"/>
  <c r="X79" i="6"/>
  <c r="G79" i="6"/>
  <c r="J79" i="6" s="1"/>
  <c r="X78" i="6"/>
  <c r="J78" i="6"/>
  <c r="M78" i="6" s="1"/>
  <c r="G78" i="6"/>
  <c r="X77" i="6"/>
  <c r="M77" i="6"/>
  <c r="K77" i="6"/>
  <c r="J77" i="6"/>
  <c r="L77" i="6" s="1"/>
  <c r="G77" i="6"/>
  <c r="E77" i="6"/>
  <c r="H77" i="6" s="1"/>
  <c r="X76" i="6"/>
  <c r="G76" i="6"/>
  <c r="J76" i="6" s="1"/>
  <c r="X75" i="6"/>
  <c r="G75" i="6"/>
  <c r="J75" i="6" s="1"/>
  <c r="X74" i="6"/>
  <c r="J74" i="6"/>
  <c r="M74" i="6" s="1"/>
  <c r="G74" i="6"/>
  <c r="X73" i="6"/>
  <c r="M73" i="6"/>
  <c r="K73" i="6"/>
  <c r="J73" i="6"/>
  <c r="L73" i="6" s="1"/>
  <c r="G73" i="6"/>
  <c r="E73" i="6"/>
  <c r="H73" i="6" s="1"/>
  <c r="X72" i="6"/>
  <c r="G72" i="6"/>
  <c r="J72" i="6" s="1"/>
  <c r="X71" i="6"/>
  <c r="G71" i="6"/>
  <c r="J71" i="6" s="1"/>
  <c r="X70" i="6"/>
  <c r="J70" i="6"/>
  <c r="M70" i="6" s="1"/>
  <c r="G70" i="6"/>
  <c r="X69" i="6"/>
  <c r="M69" i="6"/>
  <c r="K69" i="6"/>
  <c r="J69" i="6"/>
  <c r="L69" i="6" s="1"/>
  <c r="G69" i="6"/>
  <c r="E69" i="6"/>
  <c r="H69" i="6" s="1"/>
  <c r="X68" i="6"/>
  <c r="G68" i="6"/>
  <c r="J68" i="6" s="1"/>
  <c r="X67" i="6"/>
  <c r="G67" i="6"/>
  <c r="J67" i="6" s="1"/>
  <c r="X66" i="6"/>
  <c r="J66" i="6"/>
  <c r="M66" i="6" s="1"/>
  <c r="G66" i="6"/>
  <c r="X65" i="6"/>
  <c r="M65" i="6"/>
  <c r="K65" i="6"/>
  <c r="J65" i="6"/>
  <c r="L65" i="6" s="1"/>
  <c r="G65" i="6"/>
  <c r="E65" i="6"/>
  <c r="H65" i="6" s="1"/>
  <c r="X64" i="6"/>
  <c r="G64" i="6"/>
  <c r="J64" i="6" s="1"/>
  <c r="X63" i="6"/>
  <c r="G63" i="6"/>
  <c r="J63" i="6" s="1"/>
  <c r="X62" i="6"/>
  <c r="J62" i="6"/>
  <c r="M62" i="6" s="1"/>
  <c r="G62" i="6"/>
  <c r="X61" i="6"/>
  <c r="M61" i="6"/>
  <c r="K61" i="6"/>
  <c r="J61" i="6"/>
  <c r="L61" i="6" s="1"/>
  <c r="G61" i="6"/>
  <c r="E61" i="6"/>
  <c r="H61" i="6" s="1"/>
  <c r="X60" i="6"/>
  <c r="G60" i="6"/>
  <c r="J60" i="6" s="1"/>
  <c r="X59" i="6"/>
  <c r="G59" i="6"/>
  <c r="J59" i="6" s="1"/>
  <c r="X58" i="6"/>
  <c r="J58" i="6"/>
  <c r="M58" i="6" s="1"/>
  <c r="G58" i="6"/>
  <c r="X57" i="6"/>
  <c r="M57" i="6"/>
  <c r="K57" i="6"/>
  <c r="J57" i="6"/>
  <c r="L57" i="6" s="1"/>
  <c r="G57" i="6"/>
  <c r="E57" i="6"/>
  <c r="H57" i="6" s="1"/>
  <c r="X56" i="6"/>
  <c r="G56" i="6"/>
  <c r="J56" i="6" s="1"/>
  <c r="X55" i="6"/>
  <c r="G55" i="6"/>
  <c r="J55" i="6" s="1"/>
  <c r="X54" i="6"/>
  <c r="J54" i="6"/>
  <c r="M54" i="6" s="1"/>
  <c r="G54" i="6"/>
  <c r="X53" i="6"/>
  <c r="M53" i="6"/>
  <c r="K53" i="6"/>
  <c r="J53" i="6"/>
  <c r="L53" i="6" s="1"/>
  <c r="G53" i="6"/>
  <c r="E53" i="6"/>
  <c r="H53" i="6" s="1"/>
  <c r="X52" i="6"/>
  <c r="G52" i="6"/>
  <c r="J52" i="6" s="1"/>
  <c r="X51" i="6"/>
  <c r="G51" i="6"/>
  <c r="J51" i="6" s="1"/>
  <c r="X50" i="6"/>
  <c r="J50" i="6"/>
  <c r="M50" i="6" s="1"/>
  <c r="G50" i="6"/>
  <c r="X49" i="6"/>
  <c r="M49" i="6"/>
  <c r="K49" i="6"/>
  <c r="J49" i="6"/>
  <c r="L49" i="6" s="1"/>
  <c r="G49" i="6"/>
  <c r="E49" i="6"/>
  <c r="H49" i="6" s="1"/>
  <c r="X48" i="6"/>
  <c r="G48" i="6"/>
  <c r="J48" i="6" s="1"/>
  <c r="X47" i="6"/>
  <c r="G47" i="6"/>
  <c r="J47" i="6" s="1"/>
  <c r="X46" i="6"/>
  <c r="J46" i="6"/>
  <c r="M46" i="6" s="1"/>
  <c r="G46" i="6"/>
  <c r="X45" i="6"/>
  <c r="M45" i="6"/>
  <c r="K45" i="6"/>
  <c r="J45" i="6"/>
  <c r="L45" i="6" s="1"/>
  <c r="G45" i="6"/>
  <c r="E45" i="6"/>
  <c r="H45" i="6" s="1"/>
  <c r="X44" i="6"/>
  <c r="G44" i="6"/>
  <c r="J44" i="6" s="1"/>
  <c r="X43" i="6"/>
  <c r="G43" i="6"/>
  <c r="J43" i="6" s="1"/>
  <c r="X42" i="6"/>
  <c r="J42" i="6"/>
  <c r="M42" i="6" s="1"/>
  <c r="G42" i="6"/>
  <c r="X41" i="6"/>
  <c r="M41" i="6"/>
  <c r="K41" i="6"/>
  <c r="J41" i="6"/>
  <c r="L41" i="6" s="1"/>
  <c r="G41" i="6"/>
  <c r="E41" i="6"/>
  <c r="H41" i="6" s="1"/>
  <c r="X40" i="6"/>
  <c r="G40" i="6"/>
  <c r="J40" i="6" s="1"/>
  <c r="X39" i="6"/>
  <c r="M39" i="6"/>
  <c r="G39" i="6"/>
  <c r="J39" i="6" s="1"/>
  <c r="X38" i="6"/>
  <c r="J38" i="6"/>
  <c r="G38" i="6"/>
  <c r="X37" i="6"/>
  <c r="O37" i="6"/>
  <c r="P37" i="6" s="1"/>
  <c r="Q37" i="6" s="1"/>
  <c r="R37" i="6" s="1"/>
  <c r="M37" i="6"/>
  <c r="K37" i="6"/>
  <c r="J37" i="6"/>
  <c r="L37" i="6" s="1"/>
  <c r="N37" i="6" s="1"/>
  <c r="G37" i="6"/>
  <c r="E37" i="6"/>
  <c r="H37" i="6" s="1"/>
  <c r="X36" i="6"/>
  <c r="L36" i="6"/>
  <c r="G36" i="6"/>
  <c r="J36" i="6" s="1"/>
  <c r="X35" i="6"/>
  <c r="G35" i="6"/>
  <c r="J35" i="6" s="1"/>
  <c r="X34" i="6"/>
  <c r="J34" i="6"/>
  <c r="G34" i="6"/>
  <c r="X33" i="6"/>
  <c r="M33" i="6"/>
  <c r="K33" i="6"/>
  <c r="J33" i="6"/>
  <c r="L33" i="6" s="1"/>
  <c r="N33" i="6" s="1"/>
  <c r="O33" i="6" s="1"/>
  <c r="P33" i="6" s="1"/>
  <c r="Q33" i="6" s="1"/>
  <c r="G33" i="6"/>
  <c r="E33" i="6"/>
  <c r="H33" i="6" s="1"/>
  <c r="X32" i="6"/>
  <c r="G32" i="6"/>
  <c r="J32" i="6" s="1"/>
  <c r="X31" i="6"/>
  <c r="G31" i="6"/>
  <c r="J31" i="6" s="1"/>
  <c r="X30" i="6"/>
  <c r="L30" i="6"/>
  <c r="S30" i="6" s="1"/>
  <c r="U30" i="6" s="1"/>
  <c r="W30" i="6" s="1"/>
  <c r="J30" i="6"/>
  <c r="G30" i="6"/>
  <c r="X29" i="6"/>
  <c r="O29" i="6"/>
  <c r="P29" i="6" s="1"/>
  <c r="Q29" i="6" s="1"/>
  <c r="M29" i="6"/>
  <c r="K29" i="6"/>
  <c r="J29" i="6"/>
  <c r="L29" i="6" s="1"/>
  <c r="N29" i="6" s="1"/>
  <c r="H29" i="6"/>
  <c r="G29" i="6"/>
  <c r="E29" i="6"/>
  <c r="X28" i="6"/>
  <c r="L28" i="6"/>
  <c r="S28" i="6" s="1"/>
  <c r="U28" i="6" s="1"/>
  <c r="W28" i="6" s="1"/>
  <c r="J28" i="6"/>
  <c r="G28" i="6"/>
  <c r="X27" i="6"/>
  <c r="G27" i="6"/>
  <c r="J27" i="6" s="1"/>
  <c r="L27" i="6" s="1"/>
  <c r="N27" i="6" s="1"/>
  <c r="O27" i="6" s="1"/>
  <c r="P27" i="6" s="1"/>
  <c r="Q27" i="6" s="1"/>
  <c r="X26" i="6"/>
  <c r="J26" i="6"/>
  <c r="G26" i="6"/>
  <c r="X25" i="6"/>
  <c r="W25" i="6"/>
  <c r="S25" i="6"/>
  <c r="U25" i="6" s="1"/>
  <c r="O25" i="6"/>
  <c r="P25" i="6" s="1"/>
  <c r="Q25" i="6" s="1"/>
  <c r="M25" i="6"/>
  <c r="K25" i="6"/>
  <c r="J25" i="6"/>
  <c r="L25" i="6" s="1"/>
  <c r="N25" i="6" s="1"/>
  <c r="G25" i="6"/>
  <c r="E25" i="6"/>
  <c r="H25" i="6" s="1"/>
  <c r="X24" i="6"/>
  <c r="J24" i="6"/>
  <c r="G24" i="6"/>
  <c r="X23" i="6"/>
  <c r="M23" i="6"/>
  <c r="G23" i="6"/>
  <c r="J23" i="6" s="1"/>
  <c r="L23" i="6" s="1"/>
  <c r="N23" i="6" s="1"/>
  <c r="O23" i="6" s="1"/>
  <c r="P23" i="6" s="1"/>
  <c r="Q23" i="6" s="1"/>
  <c r="E23" i="6"/>
  <c r="H23" i="6" s="1"/>
  <c r="X22" i="6"/>
  <c r="G22" i="6"/>
  <c r="J22" i="6" s="1"/>
  <c r="X21" i="6"/>
  <c r="S21" i="6"/>
  <c r="U21" i="6" s="1"/>
  <c r="W21" i="6" s="1"/>
  <c r="M21" i="6"/>
  <c r="K21" i="6"/>
  <c r="J21" i="6"/>
  <c r="L21" i="6" s="1"/>
  <c r="N21" i="6" s="1"/>
  <c r="O21" i="6" s="1"/>
  <c r="P21" i="6" s="1"/>
  <c r="Q21" i="6" s="1"/>
  <c r="G21" i="6"/>
  <c r="E21" i="6"/>
  <c r="H21" i="6" s="1"/>
  <c r="X20" i="6"/>
  <c r="G20" i="6"/>
  <c r="J20" i="6" s="1"/>
  <c r="X19" i="6"/>
  <c r="S19" i="6"/>
  <c r="U19" i="6" s="1"/>
  <c r="W19" i="6" s="1"/>
  <c r="M19" i="6"/>
  <c r="K19" i="6"/>
  <c r="G19" i="6"/>
  <c r="J19" i="6" s="1"/>
  <c r="L19" i="6" s="1"/>
  <c r="N19" i="6" s="1"/>
  <c r="O19" i="6" s="1"/>
  <c r="P19" i="6" s="1"/>
  <c r="Q19" i="6" s="1"/>
  <c r="E19" i="6"/>
  <c r="H19" i="6" s="1"/>
  <c r="X18" i="6"/>
  <c r="G18" i="6"/>
  <c r="J18" i="6" s="1"/>
  <c r="X17" i="6"/>
  <c r="S17" i="6"/>
  <c r="U17" i="6" s="1"/>
  <c r="W17" i="6" s="1"/>
  <c r="N17" i="6"/>
  <c r="O17" i="6" s="1"/>
  <c r="P17" i="6" s="1"/>
  <c r="Q17" i="6" s="1"/>
  <c r="M17" i="6"/>
  <c r="H17" i="6" s="1"/>
  <c r="K17" i="6"/>
  <c r="J17" i="6"/>
  <c r="L17" i="6" s="1"/>
  <c r="G17" i="6"/>
  <c r="E17" i="6"/>
  <c r="X16" i="6"/>
  <c r="J16" i="6"/>
  <c r="M16" i="6" s="1"/>
  <c r="G16" i="6"/>
  <c r="X15" i="6"/>
  <c r="L15" i="6"/>
  <c r="N15" i="6" s="1"/>
  <c r="O15" i="6" s="1"/>
  <c r="P15" i="6" s="1"/>
  <c r="Q15" i="6" s="1"/>
  <c r="G15" i="6"/>
  <c r="J15" i="6" s="1"/>
  <c r="M15" i="6" s="1"/>
  <c r="E15" i="6"/>
  <c r="X14" i="6"/>
  <c r="G14" i="6"/>
  <c r="J14" i="6" s="1"/>
  <c r="X13" i="6"/>
  <c r="S13" i="6"/>
  <c r="U13" i="6" s="1"/>
  <c r="W13" i="6" s="1"/>
  <c r="N13" i="6"/>
  <c r="O13" i="6" s="1"/>
  <c r="P13" i="6" s="1"/>
  <c r="Q13" i="6" s="1"/>
  <c r="J13" i="6"/>
  <c r="L13" i="6" s="1"/>
  <c r="G13" i="6"/>
  <c r="X12" i="6"/>
  <c r="L12" i="6"/>
  <c r="S12" i="6" s="1"/>
  <c r="U12" i="6" s="1"/>
  <c r="W12" i="6" s="1"/>
  <c r="K12" i="6"/>
  <c r="J12" i="6"/>
  <c r="M12" i="6" s="1"/>
  <c r="G12" i="6"/>
  <c r="E12" i="6"/>
  <c r="H12" i="6" s="1"/>
  <c r="X11" i="6"/>
  <c r="G11" i="6"/>
  <c r="J11" i="6" s="1"/>
  <c r="K11" i="6" s="1"/>
  <c r="X10" i="6"/>
  <c r="J10" i="6"/>
  <c r="M10" i="6" s="1"/>
  <c r="G10" i="6"/>
  <c r="X9" i="6"/>
  <c r="J9" i="6"/>
  <c r="L9" i="6" s="1"/>
  <c r="S9" i="6" s="1"/>
  <c r="U9" i="6" s="1"/>
  <c r="W9" i="6" s="1"/>
  <c r="G9" i="6"/>
  <c r="G79" i="5"/>
  <c r="J79" i="5" s="1"/>
  <c r="G78" i="5"/>
  <c r="J78" i="5" s="1"/>
  <c r="K78" i="5" s="1"/>
  <c r="J77" i="5"/>
  <c r="M77" i="5" s="1"/>
  <c r="G77" i="5"/>
  <c r="J76" i="5"/>
  <c r="L76" i="5" s="1"/>
  <c r="S76" i="5" s="1"/>
  <c r="U76" i="5" s="1"/>
  <c r="W76" i="5" s="1"/>
  <c r="G76" i="5"/>
  <c r="G75" i="5"/>
  <c r="J75" i="5" s="1"/>
  <c r="G74" i="5"/>
  <c r="J74" i="5" s="1"/>
  <c r="M73" i="5"/>
  <c r="J73" i="5"/>
  <c r="K73" i="5" s="1"/>
  <c r="G73" i="5"/>
  <c r="J72" i="5"/>
  <c r="L72" i="5" s="1"/>
  <c r="G72" i="5"/>
  <c r="G71" i="5"/>
  <c r="J71" i="5" s="1"/>
  <c r="G70" i="5"/>
  <c r="J70" i="5" s="1"/>
  <c r="M69" i="5"/>
  <c r="J69" i="5"/>
  <c r="K69" i="5" s="1"/>
  <c r="G69" i="5"/>
  <c r="J68" i="5"/>
  <c r="L68" i="5" s="1"/>
  <c r="G68" i="5"/>
  <c r="G67" i="5"/>
  <c r="J67" i="5" s="1"/>
  <c r="G66" i="5"/>
  <c r="J66" i="5" s="1"/>
  <c r="M65" i="5"/>
  <c r="J65" i="5"/>
  <c r="K65" i="5" s="1"/>
  <c r="G65" i="5"/>
  <c r="J64" i="5"/>
  <c r="L64" i="5" s="1"/>
  <c r="G64" i="5"/>
  <c r="G63" i="5"/>
  <c r="J63" i="5" s="1"/>
  <c r="G62" i="5"/>
  <c r="J62" i="5" s="1"/>
  <c r="M61" i="5"/>
  <c r="J61" i="5"/>
  <c r="K61" i="5" s="1"/>
  <c r="G61" i="5"/>
  <c r="J60" i="5"/>
  <c r="L60" i="5" s="1"/>
  <c r="G60" i="5"/>
  <c r="G59" i="5"/>
  <c r="J59" i="5" s="1"/>
  <c r="G58" i="5"/>
  <c r="J58" i="5" s="1"/>
  <c r="M57" i="5"/>
  <c r="J57" i="5"/>
  <c r="K57" i="5" s="1"/>
  <c r="G57" i="5"/>
  <c r="J56" i="5"/>
  <c r="L56" i="5" s="1"/>
  <c r="G56" i="5"/>
  <c r="G55" i="5"/>
  <c r="J55" i="5" s="1"/>
  <c r="G54" i="5"/>
  <c r="J54" i="5" s="1"/>
  <c r="M53" i="5"/>
  <c r="J53" i="5"/>
  <c r="K53" i="5" s="1"/>
  <c r="G53" i="5"/>
  <c r="J52" i="5"/>
  <c r="L52" i="5" s="1"/>
  <c r="G52" i="5"/>
  <c r="G51" i="5"/>
  <c r="J51" i="5" s="1"/>
  <c r="G50" i="5"/>
  <c r="J50" i="5" s="1"/>
  <c r="M49" i="5"/>
  <c r="J49" i="5"/>
  <c r="K49" i="5" s="1"/>
  <c r="G49" i="5"/>
  <c r="J48" i="5"/>
  <c r="L48" i="5" s="1"/>
  <c r="G48" i="5"/>
  <c r="G47" i="5"/>
  <c r="J47" i="5" s="1"/>
  <c r="G46" i="5"/>
  <c r="J46" i="5" s="1"/>
  <c r="M45" i="5"/>
  <c r="J45" i="5"/>
  <c r="K45" i="5" s="1"/>
  <c r="G45" i="5"/>
  <c r="J44" i="5"/>
  <c r="L44" i="5" s="1"/>
  <c r="G44" i="5"/>
  <c r="G43" i="5"/>
  <c r="J43" i="5" s="1"/>
  <c r="G42" i="5"/>
  <c r="J42" i="5" s="1"/>
  <c r="M41" i="5"/>
  <c r="J41" i="5"/>
  <c r="K41" i="5" s="1"/>
  <c r="G41" i="5"/>
  <c r="J40" i="5"/>
  <c r="L40" i="5" s="1"/>
  <c r="G40" i="5"/>
  <c r="G39" i="5"/>
  <c r="J39" i="5" s="1"/>
  <c r="G38" i="5"/>
  <c r="J38" i="5" s="1"/>
  <c r="M37" i="5"/>
  <c r="J37" i="5"/>
  <c r="K37" i="5" s="1"/>
  <c r="G37" i="5"/>
  <c r="J36" i="5"/>
  <c r="L36" i="5" s="1"/>
  <c r="G36" i="5"/>
  <c r="G35" i="5"/>
  <c r="J35" i="5" s="1"/>
  <c r="G34" i="5"/>
  <c r="J34" i="5" s="1"/>
  <c r="M33" i="5"/>
  <c r="J33" i="5"/>
  <c r="K33" i="5" s="1"/>
  <c r="G33" i="5"/>
  <c r="J32" i="5"/>
  <c r="L32" i="5" s="1"/>
  <c r="G32" i="5"/>
  <c r="G31" i="5"/>
  <c r="J31" i="5" s="1"/>
  <c r="G30" i="5"/>
  <c r="J30" i="5" s="1"/>
  <c r="M29" i="5"/>
  <c r="J29" i="5"/>
  <c r="K29" i="5" s="1"/>
  <c r="G29" i="5"/>
  <c r="J28" i="5"/>
  <c r="L28" i="5" s="1"/>
  <c r="G28" i="5"/>
  <c r="G27" i="5"/>
  <c r="J27" i="5" s="1"/>
  <c r="G26" i="5"/>
  <c r="J26" i="5" s="1"/>
  <c r="M25" i="5"/>
  <c r="J25" i="5"/>
  <c r="K25" i="5" s="1"/>
  <c r="G25" i="5"/>
  <c r="J24" i="5"/>
  <c r="L24" i="5" s="1"/>
  <c r="G24" i="5"/>
  <c r="G23" i="5"/>
  <c r="J23" i="5" s="1"/>
  <c r="G22" i="5"/>
  <c r="J22" i="5" s="1"/>
  <c r="M21" i="5"/>
  <c r="J21" i="5"/>
  <c r="K21" i="5" s="1"/>
  <c r="G21" i="5"/>
  <c r="J20" i="5"/>
  <c r="L20" i="5" s="1"/>
  <c r="G20" i="5"/>
  <c r="G19" i="5"/>
  <c r="J19" i="5" s="1"/>
  <c r="G18" i="5"/>
  <c r="J18" i="5" s="1"/>
  <c r="M17" i="5"/>
  <c r="J17" i="5"/>
  <c r="K17" i="5" s="1"/>
  <c r="G17" i="5"/>
  <c r="J16" i="5"/>
  <c r="L16" i="5" s="1"/>
  <c r="G16" i="5"/>
  <c r="G15" i="5"/>
  <c r="J15" i="5" s="1"/>
  <c r="G14" i="5"/>
  <c r="J14" i="5" s="1"/>
  <c r="M13" i="5"/>
  <c r="J13" i="5"/>
  <c r="K13" i="5" s="1"/>
  <c r="G13" i="5"/>
  <c r="J12" i="5"/>
  <c r="G12" i="5"/>
  <c r="K11" i="5"/>
  <c r="G11" i="5"/>
  <c r="J11" i="5" s="1"/>
  <c r="E11" i="5" s="1"/>
  <c r="L10" i="5"/>
  <c r="G10" i="5"/>
  <c r="J10" i="5" s="1"/>
  <c r="M9" i="5"/>
  <c r="J9" i="5"/>
  <c r="K9" i="5" s="1"/>
  <c r="G9" i="5"/>
  <c r="G155" i="4"/>
  <c r="J155" i="4" s="1"/>
  <c r="E155" i="4" s="1"/>
  <c r="M154" i="4"/>
  <c r="J154" i="4"/>
  <c r="K154" i="4" s="1"/>
  <c r="G154" i="4"/>
  <c r="K153" i="4"/>
  <c r="G153" i="4"/>
  <c r="J153" i="4" s="1"/>
  <c r="E153" i="4"/>
  <c r="M152" i="4"/>
  <c r="J152" i="4"/>
  <c r="K152" i="4" s="1"/>
  <c r="G152" i="4"/>
  <c r="G151" i="4"/>
  <c r="J151" i="4" s="1"/>
  <c r="E151" i="4" s="1"/>
  <c r="M150" i="4"/>
  <c r="J150" i="4"/>
  <c r="K150" i="4" s="1"/>
  <c r="G150" i="4"/>
  <c r="K149" i="4"/>
  <c r="G149" i="4"/>
  <c r="J149" i="4" s="1"/>
  <c r="E149" i="4"/>
  <c r="M148" i="4"/>
  <c r="J148" i="4"/>
  <c r="K148" i="4" s="1"/>
  <c r="G148" i="4"/>
  <c r="G147" i="4"/>
  <c r="J147" i="4" s="1"/>
  <c r="E147" i="4" s="1"/>
  <c r="M146" i="4"/>
  <c r="J146" i="4"/>
  <c r="K146" i="4" s="1"/>
  <c r="G146" i="4"/>
  <c r="K145" i="4"/>
  <c r="G145" i="4"/>
  <c r="J145" i="4" s="1"/>
  <c r="E145" i="4"/>
  <c r="J144" i="4"/>
  <c r="M144" i="4" s="1"/>
  <c r="G144" i="4"/>
  <c r="S143" i="4"/>
  <c r="L143" i="4"/>
  <c r="N143" i="4" s="1"/>
  <c r="O143" i="4" s="1"/>
  <c r="P143" i="4" s="1"/>
  <c r="Q143" i="4" s="1"/>
  <c r="K143" i="4"/>
  <c r="G143" i="4"/>
  <c r="J143" i="4" s="1"/>
  <c r="M143" i="4" s="1"/>
  <c r="J142" i="4"/>
  <c r="G142" i="4"/>
  <c r="G141" i="4"/>
  <c r="J141" i="4" s="1"/>
  <c r="M141" i="4" s="1"/>
  <c r="M140" i="4"/>
  <c r="J140" i="4"/>
  <c r="G140" i="4"/>
  <c r="G139" i="4"/>
  <c r="J139" i="4" s="1"/>
  <c r="M139" i="4" s="1"/>
  <c r="E139" i="4"/>
  <c r="H139" i="4" s="1"/>
  <c r="M138" i="4"/>
  <c r="J138" i="4"/>
  <c r="G138" i="4"/>
  <c r="L137" i="4"/>
  <c r="N137" i="4" s="1"/>
  <c r="O137" i="4" s="1"/>
  <c r="P137" i="4" s="1"/>
  <c r="Q137" i="4" s="1"/>
  <c r="K137" i="4"/>
  <c r="G137" i="4"/>
  <c r="J137" i="4" s="1"/>
  <c r="M137" i="4" s="1"/>
  <c r="E137" i="4"/>
  <c r="H137" i="4" s="1"/>
  <c r="J136" i="4"/>
  <c r="M136" i="4" s="1"/>
  <c r="G136" i="4"/>
  <c r="S135" i="4"/>
  <c r="L135" i="4"/>
  <c r="N135" i="4" s="1"/>
  <c r="O135" i="4" s="1"/>
  <c r="P135" i="4" s="1"/>
  <c r="Q135" i="4" s="1"/>
  <c r="K135" i="4"/>
  <c r="G135" i="4"/>
  <c r="J135" i="4" s="1"/>
  <c r="M135" i="4" s="1"/>
  <c r="J134" i="4"/>
  <c r="G134" i="4"/>
  <c r="G133" i="4"/>
  <c r="J133" i="4" s="1"/>
  <c r="M133" i="4" s="1"/>
  <c r="J132" i="4"/>
  <c r="K132" i="4" s="1"/>
  <c r="G132" i="4"/>
  <c r="G131" i="4"/>
  <c r="J131" i="4" s="1"/>
  <c r="J130" i="4"/>
  <c r="M130" i="4" s="1"/>
  <c r="G130" i="4"/>
  <c r="G129" i="4"/>
  <c r="J129" i="4" s="1"/>
  <c r="J128" i="4"/>
  <c r="M128" i="4" s="1"/>
  <c r="G128" i="4"/>
  <c r="G127" i="4"/>
  <c r="J127" i="4" s="1"/>
  <c r="J126" i="4"/>
  <c r="M126" i="4" s="1"/>
  <c r="G126" i="4"/>
  <c r="G125" i="4"/>
  <c r="J125" i="4" s="1"/>
  <c r="J124" i="4"/>
  <c r="M124" i="4" s="1"/>
  <c r="G124" i="4"/>
  <c r="G123" i="4"/>
  <c r="J123" i="4" s="1"/>
  <c r="J122" i="4"/>
  <c r="M122" i="4" s="1"/>
  <c r="G122" i="4"/>
  <c r="G121" i="4"/>
  <c r="J121" i="4" s="1"/>
  <c r="J120" i="4"/>
  <c r="M120" i="4" s="1"/>
  <c r="G120" i="4"/>
  <c r="G119" i="4"/>
  <c r="J119" i="4" s="1"/>
  <c r="J118" i="4"/>
  <c r="M118" i="4" s="1"/>
  <c r="G118" i="4"/>
  <c r="G117" i="4"/>
  <c r="J117" i="4" s="1"/>
  <c r="J116" i="4"/>
  <c r="M116" i="4" s="1"/>
  <c r="G116" i="4"/>
  <c r="G115" i="4"/>
  <c r="J115" i="4" s="1"/>
  <c r="J114" i="4"/>
  <c r="M114" i="4" s="1"/>
  <c r="G114" i="4"/>
  <c r="G113" i="4"/>
  <c r="J113" i="4" s="1"/>
  <c r="J112" i="4"/>
  <c r="M112" i="4" s="1"/>
  <c r="G112" i="4"/>
  <c r="G111" i="4"/>
  <c r="J111" i="4" s="1"/>
  <c r="J110" i="4"/>
  <c r="M110" i="4" s="1"/>
  <c r="G110" i="4"/>
  <c r="G109" i="4"/>
  <c r="J109" i="4" s="1"/>
  <c r="J108" i="4"/>
  <c r="M108" i="4" s="1"/>
  <c r="G108" i="4"/>
  <c r="G107" i="4"/>
  <c r="J107" i="4" s="1"/>
  <c r="J106" i="4"/>
  <c r="M106" i="4" s="1"/>
  <c r="G106" i="4"/>
  <c r="G105" i="4"/>
  <c r="J105" i="4" s="1"/>
  <c r="J104" i="4"/>
  <c r="M104" i="4" s="1"/>
  <c r="G104" i="4"/>
  <c r="G103" i="4"/>
  <c r="J103" i="4" s="1"/>
  <c r="J102" i="4"/>
  <c r="M102" i="4" s="1"/>
  <c r="G102" i="4"/>
  <c r="G101" i="4"/>
  <c r="J101" i="4" s="1"/>
  <c r="J100" i="4"/>
  <c r="M100" i="4" s="1"/>
  <c r="G100" i="4"/>
  <c r="G99" i="4"/>
  <c r="J99" i="4" s="1"/>
  <c r="J98" i="4"/>
  <c r="M98" i="4" s="1"/>
  <c r="G98" i="4"/>
  <c r="G97" i="4"/>
  <c r="J97" i="4" s="1"/>
  <c r="J96" i="4"/>
  <c r="M96" i="4" s="1"/>
  <c r="G96" i="4"/>
  <c r="G95" i="4"/>
  <c r="J95" i="4" s="1"/>
  <c r="J94" i="4"/>
  <c r="M94" i="4" s="1"/>
  <c r="G94" i="4"/>
  <c r="G93" i="4"/>
  <c r="J93" i="4" s="1"/>
  <c r="J92" i="4"/>
  <c r="M92" i="4" s="1"/>
  <c r="G92" i="4"/>
  <c r="G91" i="4"/>
  <c r="J91" i="4" s="1"/>
  <c r="J90" i="4"/>
  <c r="M90" i="4" s="1"/>
  <c r="G90" i="4"/>
  <c r="G89" i="4"/>
  <c r="J89" i="4" s="1"/>
  <c r="J88" i="4"/>
  <c r="M88" i="4" s="1"/>
  <c r="G88" i="4"/>
  <c r="G87" i="4"/>
  <c r="J87" i="4" s="1"/>
  <c r="J86" i="4"/>
  <c r="M86" i="4" s="1"/>
  <c r="G86" i="4"/>
  <c r="G85" i="4"/>
  <c r="J85" i="4" s="1"/>
  <c r="J84" i="4"/>
  <c r="M84" i="4" s="1"/>
  <c r="G84" i="4"/>
  <c r="G83" i="4"/>
  <c r="J83" i="4" s="1"/>
  <c r="J82" i="4"/>
  <c r="M82" i="4" s="1"/>
  <c r="G82" i="4"/>
  <c r="G81" i="4"/>
  <c r="J81" i="4" s="1"/>
  <c r="J80" i="4"/>
  <c r="M80" i="4" s="1"/>
  <c r="G80" i="4"/>
  <c r="G79" i="4"/>
  <c r="J79" i="4" s="1"/>
  <c r="J78" i="4"/>
  <c r="M78" i="4" s="1"/>
  <c r="G78" i="4"/>
  <c r="G77" i="4"/>
  <c r="J77" i="4" s="1"/>
  <c r="J76" i="4"/>
  <c r="M76" i="4" s="1"/>
  <c r="G76" i="4"/>
  <c r="G75" i="4"/>
  <c r="J75" i="4" s="1"/>
  <c r="J74" i="4"/>
  <c r="M74" i="4" s="1"/>
  <c r="G74" i="4"/>
  <c r="G73" i="4"/>
  <c r="J73" i="4" s="1"/>
  <c r="J72" i="4"/>
  <c r="M72" i="4" s="1"/>
  <c r="G72" i="4"/>
  <c r="G71" i="4"/>
  <c r="J71" i="4" s="1"/>
  <c r="J70" i="4"/>
  <c r="M70" i="4" s="1"/>
  <c r="G70" i="4"/>
  <c r="G69" i="4"/>
  <c r="J69" i="4" s="1"/>
  <c r="J68" i="4"/>
  <c r="M68" i="4" s="1"/>
  <c r="G68" i="4"/>
  <c r="G67" i="4"/>
  <c r="J67" i="4" s="1"/>
  <c r="J66" i="4"/>
  <c r="M66" i="4" s="1"/>
  <c r="G66" i="4"/>
  <c r="G65" i="4"/>
  <c r="J65" i="4" s="1"/>
  <c r="J64" i="4"/>
  <c r="M64" i="4" s="1"/>
  <c r="G64" i="4"/>
  <c r="L63" i="4"/>
  <c r="G63" i="4"/>
  <c r="J63" i="4" s="1"/>
  <c r="J62" i="4"/>
  <c r="G62" i="4"/>
  <c r="L61" i="4"/>
  <c r="G61" i="4"/>
  <c r="J61" i="4" s="1"/>
  <c r="J60" i="4"/>
  <c r="G60" i="4"/>
  <c r="L59" i="4"/>
  <c r="G59" i="4"/>
  <c r="J59" i="4" s="1"/>
  <c r="J58" i="4"/>
  <c r="G58" i="4"/>
  <c r="L57" i="4"/>
  <c r="G57" i="4"/>
  <c r="J57" i="4" s="1"/>
  <c r="J56" i="4"/>
  <c r="G56" i="4"/>
  <c r="L55" i="4"/>
  <c r="G55" i="4"/>
  <c r="J55" i="4" s="1"/>
  <c r="J54" i="4"/>
  <c r="G54" i="4"/>
  <c r="L53" i="4"/>
  <c r="G53" i="4"/>
  <c r="J53" i="4" s="1"/>
  <c r="J52" i="4"/>
  <c r="G52" i="4"/>
  <c r="L51" i="4"/>
  <c r="G51" i="4"/>
  <c r="J51" i="4" s="1"/>
  <c r="J50" i="4"/>
  <c r="G50" i="4"/>
  <c r="L49" i="4"/>
  <c r="K49" i="4"/>
  <c r="G49" i="4"/>
  <c r="J49" i="4" s="1"/>
  <c r="M49" i="4" s="1"/>
  <c r="E49" i="4"/>
  <c r="H49" i="4" s="1"/>
  <c r="J48" i="4"/>
  <c r="G48" i="4"/>
  <c r="K47" i="4"/>
  <c r="G47" i="4"/>
  <c r="J47" i="4" s="1"/>
  <c r="M47" i="4" s="1"/>
  <c r="J46" i="4"/>
  <c r="G46" i="4"/>
  <c r="G45" i="4"/>
  <c r="J45" i="4" s="1"/>
  <c r="M45" i="4" s="1"/>
  <c r="M44" i="4"/>
  <c r="J44" i="4"/>
  <c r="G44" i="4"/>
  <c r="O43" i="4"/>
  <c r="P43" i="4" s="1"/>
  <c r="Q43" i="4" s="1"/>
  <c r="L43" i="4"/>
  <c r="N43" i="4" s="1"/>
  <c r="G43" i="4"/>
  <c r="J43" i="4" s="1"/>
  <c r="M43" i="4" s="1"/>
  <c r="E43" i="4"/>
  <c r="H43" i="4" s="1"/>
  <c r="M42" i="4"/>
  <c r="J42" i="4"/>
  <c r="G42" i="4"/>
  <c r="L41" i="4"/>
  <c r="N41" i="4" s="1"/>
  <c r="O41" i="4" s="1"/>
  <c r="P41" i="4" s="1"/>
  <c r="Q41" i="4" s="1"/>
  <c r="K41" i="4"/>
  <c r="G41" i="4"/>
  <c r="J41" i="4" s="1"/>
  <c r="M41" i="4" s="1"/>
  <c r="E41" i="4"/>
  <c r="H41" i="4" s="1"/>
  <c r="J40" i="4"/>
  <c r="G40" i="4"/>
  <c r="K39" i="4"/>
  <c r="G39" i="4"/>
  <c r="J39" i="4" s="1"/>
  <c r="M39" i="4" s="1"/>
  <c r="J38" i="4"/>
  <c r="G38" i="4"/>
  <c r="G37" i="4"/>
  <c r="J37" i="4" s="1"/>
  <c r="M37" i="4" s="1"/>
  <c r="M36" i="4"/>
  <c r="J36" i="4"/>
  <c r="G36" i="4"/>
  <c r="O35" i="4"/>
  <c r="P35" i="4" s="1"/>
  <c r="Q35" i="4" s="1"/>
  <c r="L35" i="4"/>
  <c r="N35" i="4" s="1"/>
  <c r="G35" i="4"/>
  <c r="J35" i="4" s="1"/>
  <c r="M35" i="4" s="1"/>
  <c r="E35" i="4"/>
  <c r="H35" i="4" s="1"/>
  <c r="M34" i="4"/>
  <c r="J34" i="4"/>
  <c r="G34" i="4"/>
  <c r="L33" i="4"/>
  <c r="N33" i="4" s="1"/>
  <c r="O33" i="4" s="1"/>
  <c r="P33" i="4" s="1"/>
  <c r="Q33" i="4" s="1"/>
  <c r="K33" i="4"/>
  <c r="G33" i="4"/>
  <c r="J33" i="4" s="1"/>
  <c r="M33" i="4" s="1"/>
  <c r="E33" i="4"/>
  <c r="H33" i="4" s="1"/>
  <c r="J32" i="4"/>
  <c r="G32" i="4"/>
  <c r="G31" i="4"/>
  <c r="J31" i="4" s="1"/>
  <c r="L31" i="4" s="1"/>
  <c r="G30" i="4"/>
  <c r="J30" i="4" s="1"/>
  <c r="K29" i="4"/>
  <c r="J29" i="4"/>
  <c r="M29" i="4" s="1"/>
  <c r="G29" i="4"/>
  <c r="E29" i="4"/>
  <c r="H29" i="4" s="1"/>
  <c r="G28" i="4"/>
  <c r="J28" i="4" s="1"/>
  <c r="K27" i="4"/>
  <c r="J27" i="4"/>
  <c r="M27" i="4" s="1"/>
  <c r="G27" i="4"/>
  <c r="E27" i="4"/>
  <c r="H27" i="4" s="1"/>
  <c r="M26" i="4"/>
  <c r="J26" i="4"/>
  <c r="L26" i="4" s="1"/>
  <c r="G26" i="4"/>
  <c r="G25" i="4"/>
  <c r="J25" i="4" s="1"/>
  <c r="M24" i="4"/>
  <c r="J24" i="4"/>
  <c r="L24" i="4" s="1"/>
  <c r="G24" i="4"/>
  <c r="G23" i="4"/>
  <c r="J23" i="4" s="1"/>
  <c r="M22" i="4"/>
  <c r="J22" i="4"/>
  <c r="L22" i="4" s="1"/>
  <c r="G22" i="4"/>
  <c r="G21" i="4"/>
  <c r="J21" i="4" s="1"/>
  <c r="M20" i="4"/>
  <c r="J20" i="4"/>
  <c r="L20" i="4" s="1"/>
  <c r="G20" i="4"/>
  <c r="G19" i="4"/>
  <c r="J19" i="4" s="1"/>
  <c r="M18" i="4"/>
  <c r="J18" i="4"/>
  <c r="L18" i="4" s="1"/>
  <c r="G18" i="4"/>
  <c r="G17" i="4"/>
  <c r="J17" i="4" s="1"/>
  <c r="M16" i="4"/>
  <c r="J16" i="4"/>
  <c r="L16" i="4" s="1"/>
  <c r="G16" i="4"/>
  <c r="G15" i="4"/>
  <c r="J15" i="4" s="1"/>
  <c r="M14" i="4"/>
  <c r="J14" i="4"/>
  <c r="L14" i="4" s="1"/>
  <c r="G14" i="4"/>
  <c r="G13" i="4"/>
  <c r="J13" i="4" s="1"/>
  <c r="M12" i="4"/>
  <c r="J12" i="4"/>
  <c r="L12" i="4" s="1"/>
  <c r="G12" i="4"/>
  <c r="G11" i="4"/>
  <c r="J11" i="4" s="1"/>
  <c r="M10" i="4"/>
  <c r="J10" i="4"/>
  <c r="L10" i="4" s="1"/>
  <c r="G10" i="4"/>
  <c r="G9" i="4"/>
  <c r="J9" i="4" s="1"/>
  <c r="M8" i="4"/>
  <c r="J8" i="4"/>
  <c r="L8" i="4" s="1"/>
  <c r="G8" i="4"/>
  <c r="S93" i="3"/>
  <c r="R93" i="3"/>
  <c r="Q93" i="3"/>
  <c r="P93" i="3"/>
  <c r="N93" i="3"/>
  <c r="M93" i="3"/>
  <c r="L93" i="3"/>
  <c r="K93" i="3"/>
  <c r="I93" i="3"/>
  <c r="H93" i="3"/>
  <c r="E22" i="3"/>
  <c r="E26" i="3" s="1"/>
  <c r="E27" i="3" s="1"/>
  <c r="E28" i="3" s="1"/>
  <c r="T93" i="3" s="1"/>
  <c r="E15" i="3"/>
  <c r="J93" i="3" s="1"/>
  <c r="E14" i="3"/>
  <c r="E13" i="3"/>
  <c r="M11" i="4" l="1"/>
  <c r="L11" i="4"/>
  <c r="K11" i="4"/>
  <c r="E11" i="4"/>
  <c r="H11" i="4" s="1"/>
  <c r="M15" i="4"/>
  <c r="L15" i="4"/>
  <c r="K15" i="4"/>
  <c r="E15" i="4"/>
  <c r="H15" i="4" s="1"/>
  <c r="M21" i="4"/>
  <c r="L21" i="4"/>
  <c r="K21" i="4"/>
  <c r="E21" i="4"/>
  <c r="H21" i="4" s="1"/>
  <c r="M23" i="4"/>
  <c r="L23" i="4"/>
  <c r="K23" i="4"/>
  <c r="E23" i="4"/>
  <c r="H23" i="4" s="1"/>
  <c r="L28" i="4"/>
  <c r="K28" i="4"/>
  <c r="E28" i="4"/>
  <c r="M28" i="4"/>
  <c r="R43" i="4"/>
  <c r="U43" i="4"/>
  <c r="L30" i="4"/>
  <c r="K30" i="4"/>
  <c r="E30" i="4"/>
  <c r="M30" i="4"/>
  <c r="R41" i="4"/>
  <c r="U41" i="4"/>
  <c r="M9" i="4"/>
  <c r="L9" i="4"/>
  <c r="K9" i="4"/>
  <c r="E9" i="4"/>
  <c r="H9" i="4" s="1"/>
  <c r="M13" i="4"/>
  <c r="L13" i="4"/>
  <c r="K13" i="4"/>
  <c r="E13" i="4"/>
  <c r="H13" i="4" s="1"/>
  <c r="M19" i="4"/>
  <c r="L19" i="4"/>
  <c r="K19" i="4"/>
  <c r="E19" i="4"/>
  <c r="H19" i="4" s="1"/>
  <c r="M25" i="4"/>
  <c r="L25" i="4"/>
  <c r="K25" i="4"/>
  <c r="E25" i="4"/>
  <c r="H25" i="4" s="1"/>
  <c r="R33" i="4"/>
  <c r="U33" i="4"/>
  <c r="S8" i="4"/>
  <c r="N8" i="4"/>
  <c r="O8" i="4" s="1"/>
  <c r="P8" i="4" s="1"/>
  <c r="Q8" i="4" s="1"/>
  <c r="S12" i="4"/>
  <c r="N12" i="4"/>
  <c r="O12" i="4" s="1"/>
  <c r="P12" i="4" s="1"/>
  <c r="Q12" i="4" s="1"/>
  <c r="S18" i="4"/>
  <c r="N18" i="4"/>
  <c r="O18" i="4" s="1"/>
  <c r="P18" i="4" s="1"/>
  <c r="Q18" i="4" s="1"/>
  <c r="S22" i="4"/>
  <c r="N22" i="4"/>
  <c r="O22" i="4" s="1"/>
  <c r="P22" i="4" s="1"/>
  <c r="Q22" i="4" s="1"/>
  <c r="S24" i="4"/>
  <c r="N24" i="4"/>
  <c r="O24" i="4" s="1"/>
  <c r="P24" i="4" s="1"/>
  <c r="Q24" i="4" s="1"/>
  <c r="N31" i="4"/>
  <c r="O31" i="4" s="1"/>
  <c r="P31" i="4" s="1"/>
  <c r="Q31" i="4" s="1"/>
  <c r="S31" i="4"/>
  <c r="M17" i="4"/>
  <c r="L17" i="4"/>
  <c r="K17" i="4"/>
  <c r="E17" i="4"/>
  <c r="H17" i="4" s="1"/>
  <c r="S10" i="4"/>
  <c r="N10" i="4"/>
  <c r="O10" i="4" s="1"/>
  <c r="P10" i="4" s="1"/>
  <c r="Q10" i="4" s="1"/>
  <c r="S14" i="4"/>
  <c r="N14" i="4"/>
  <c r="O14" i="4" s="1"/>
  <c r="P14" i="4" s="1"/>
  <c r="Q14" i="4" s="1"/>
  <c r="S16" i="4"/>
  <c r="N16" i="4"/>
  <c r="O16" i="4" s="1"/>
  <c r="P16" i="4" s="1"/>
  <c r="Q16" i="4" s="1"/>
  <c r="S20" i="4"/>
  <c r="N20" i="4"/>
  <c r="O20" i="4" s="1"/>
  <c r="P20" i="4" s="1"/>
  <c r="Q20" i="4" s="1"/>
  <c r="S26" i="4"/>
  <c r="N26" i="4"/>
  <c r="O26" i="4" s="1"/>
  <c r="P26" i="4" s="1"/>
  <c r="Q26" i="4" s="1"/>
  <c r="R35" i="4"/>
  <c r="U35" i="4"/>
  <c r="M31" i="4"/>
  <c r="L32" i="4"/>
  <c r="K32" i="4"/>
  <c r="E32" i="4"/>
  <c r="L40" i="4"/>
  <c r="K40" i="4"/>
  <c r="E40" i="4"/>
  <c r="L48" i="4"/>
  <c r="K48" i="4"/>
  <c r="E48" i="4"/>
  <c r="H48" i="4" s="1"/>
  <c r="S49" i="4"/>
  <c r="N49" i="4"/>
  <c r="O49" i="4" s="1"/>
  <c r="P49" i="4" s="1"/>
  <c r="Q49" i="4" s="1"/>
  <c r="M50" i="4"/>
  <c r="L50" i="4"/>
  <c r="K50" i="4"/>
  <c r="E50" i="4"/>
  <c r="H50" i="4" s="1"/>
  <c r="S51" i="4"/>
  <c r="N51" i="4"/>
  <c r="O51" i="4" s="1"/>
  <c r="P51" i="4" s="1"/>
  <c r="Q51" i="4" s="1"/>
  <c r="M52" i="4"/>
  <c r="L52" i="4"/>
  <c r="K52" i="4"/>
  <c r="E52" i="4"/>
  <c r="H52" i="4" s="1"/>
  <c r="S53" i="4"/>
  <c r="N53" i="4"/>
  <c r="O53" i="4" s="1"/>
  <c r="P53" i="4" s="1"/>
  <c r="Q53" i="4" s="1"/>
  <c r="M54" i="4"/>
  <c r="L54" i="4"/>
  <c r="K54" i="4"/>
  <c r="E54" i="4"/>
  <c r="H54" i="4" s="1"/>
  <c r="S55" i="4"/>
  <c r="N55" i="4"/>
  <c r="O55" i="4" s="1"/>
  <c r="P55" i="4" s="1"/>
  <c r="Q55" i="4" s="1"/>
  <c r="M56" i="4"/>
  <c r="L56" i="4"/>
  <c r="K56" i="4"/>
  <c r="E56" i="4"/>
  <c r="H56" i="4" s="1"/>
  <c r="S57" i="4"/>
  <c r="N57" i="4"/>
  <c r="O57" i="4" s="1"/>
  <c r="P57" i="4" s="1"/>
  <c r="Q57" i="4" s="1"/>
  <c r="M58" i="4"/>
  <c r="L58" i="4"/>
  <c r="K58" i="4"/>
  <c r="E58" i="4"/>
  <c r="H58" i="4" s="1"/>
  <c r="S59" i="4"/>
  <c r="N59" i="4"/>
  <c r="O59" i="4" s="1"/>
  <c r="P59" i="4" s="1"/>
  <c r="Q59" i="4" s="1"/>
  <c r="M60" i="4"/>
  <c r="L60" i="4"/>
  <c r="K60" i="4"/>
  <c r="E60" i="4"/>
  <c r="H60" i="4" s="1"/>
  <c r="S61" i="4"/>
  <c r="N61" i="4"/>
  <c r="O61" i="4" s="1"/>
  <c r="P61" i="4" s="1"/>
  <c r="Q61" i="4" s="1"/>
  <c r="M62" i="4"/>
  <c r="L62" i="4"/>
  <c r="K62" i="4"/>
  <c r="E62" i="4"/>
  <c r="H62" i="4" s="1"/>
  <c r="S63" i="4"/>
  <c r="N63" i="4"/>
  <c r="O63" i="4" s="1"/>
  <c r="P63" i="4" s="1"/>
  <c r="Q63" i="4" s="1"/>
  <c r="L67" i="4"/>
  <c r="K67" i="4"/>
  <c r="E67" i="4"/>
  <c r="M67" i="4"/>
  <c r="L75" i="4"/>
  <c r="K75" i="4"/>
  <c r="E75" i="4"/>
  <c r="M75" i="4"/>
  <c r="L83" i="4"/>
  <c r="K83" i="4"/>
  <c r="E83" i="4"/>
  <c r="M83" i="4"/>
  <c r="L91" i="4"/>
  <c r="K91" i="4"/>
  <c r="E91" i="4"/>
  <c r="M91" i="4"/>
  <c r="L99" i="4"/>
  <c r="K99" i="4"/>
  <c r="E99" i="4"/>
  <c r="M99" i="4"/>
  <c r="L107" i="4"/>
  <c r="K107" i="4"/>
  <c r="E107" i="4"/>
  <c r="M107" i="4"/>
  <c r="L115" i="4"/>
  <c r="K115" i="4"/>
  <c r="E115" i="4"/>
  <c r="M115" i="4"/>
  <c r="L123" i="4"/>
  <c r="K123" i="4"/>
  <c r="E123" i="4"/>
  <c r="M123" i="4"/>
  <c r="L131" i="4"/>
  <c r="K131" i="4"/>
  <c r="E131" i="4"/>
  <c r="M131" i="4"/>
  <c r="R135" i="4"/>
  <c r="U135" i="4"/>
  <c r="L27" i="4"/>
  <c r="L29" i="4"/>
  <c r="M32" i="4"/>
  <c r="K37" i="4"/>
  <c r="L38" i="4"/>
  <c r="K38" i="4"/>
  <c r="E38" i="4"/>
  <c r="L39" i="4"/>
  <c r="M40" i="4"/>
  <c r="K45" i="4"/>
  <c r="L46" i="4"/>
  <c r="K46" i="4"/>
  <c r="E46" i="4"/>
  <c r="L47" i="4"/>
  <c r="M48" i="4"/>
  <c r="L65" i="4"/>
  <c r="K65" i="4"/>
  <c r="E65" i="4"/>
  <c r="H65" i="4" s="1"/>
  <c r="M65" i="4"/>
  <c r="L73" i="4"/>
  <c r="K73" i="4"/>
  <c r="E73" i="4"/>
  <c r="H73" i="4" s="1"/>
  <c r="M73" i="4"/>
  <c r="L81" i="4"/>
  <c r="K81" i="4"/>
  <c r="E81" i="4"/>
  <c r="H81" i="4" s="1"/>
  <c r="M81" i="4"/>
  <c r="L89" i="4"/>
  <c r="K89" i="4"/>
  <c r="E89" i="4"/>
  <c r="H89" i="4" s="1"/>
  <c r="M89" i="4"/>
  <c r="L97" i="4"/>
  <c r="K97" i="4"/>
  <c r="E97" i="4"/>
  <c r="H97" i="4" s="1"/>
  <c r="M97" i="4"/>
  <c r="L105" i="4"/>
  <c r="K105" i="4"/>
  <c r="E105" i="4"/>
  <c r="H105" i="4" s="1"/>
  <c r="M105" i="4"/>
  <c r="L113" i="4"/>
  <c r="K113" i="4"/>
  <c r="E113" i="4"/>
  <c r="H113" i="4" s="1"/>
  <c r="M113" i="4"/>
  <c r="L121" i="4"/>
  <c r="K121" i="4"/>
  <c r="E121" i="4"/>
  <c r="H121" i="4" s="1"/>
  <c r="M121" i="4"/>
  <c r="L129" i="4"/>
  <c r="K129" i="4"/>
  <c r="E129" i="4"/>
  <c r="H129" i="4" s="1"/>
  <c r="M129" i="4"/>
  <c r="R143" i="4"/>
  <c r="U143" i="4"/>
  <c r="H151" i="4"/>
  <c r="E8" i="4"/>
  <c r="H8" i="4" s="1"/>
  <c r="K8" i="4"/>
  <c r="E10" i="4"/>
  <c r="H10" i="4" s="1"/>
  <c r="K10" i="4"/>
  <c r="E12" i="4"/>
  <c r="H12" i="4" s="1"/>
  <c r="K12" i="4"/>
  <c r="E14" i="4"/>
  <c r="H14" i="4" s="1"/>
  <c r="K14" i="4"/>
  <c r="E16" i="4"/>
  <c r="H16" i="4" s="1"/>
  <c r="K16" i="4"/>
  <c r="E18" i="4"/>
  <c r="H18" i="4" s="1"/>
  <c r="K18" i="4"/>
  <c r="E20" i="4"/>
  <c r="H20" i="4" s="1"/>
  <c r="K20" i="4"/>
  <c r="E22" i="4"/>
  <c r="H22" i="4" s="1"/>
  <c r="K22" i="4"/>
  <c r="E24" i="4"/>
  <c r="H24" i="4" s="1"/>
  <c r="K24" i="4"/>
  <c r="E26" i="4"/>
  <c r="H26" i="4" s="1"/>
  <c r="K26" i="4"/>
  <c r="K31" i="4"/>
  <c r="K35" i="4"/>
  <c r="S35" i="4"/>
  <c r="L36" i="4"/>
  <c r="K36" i="4"/>
  <c r="E36" i="4"/>
  <c r="H36" i="4" s="1"/>
  <c r="L37" i="4"/>
  <c r="M38" i="4"/>
  <c r="E39" i="4"/>
  <c r="H39" i="4" s="1"/>
  <c r="K43" i="4"/>
  <c r="S43" i="4"/>
  <c r="L44" i="4"/>
  <c r="K44" i="4"/>
  <c r="E44" i="4"/>
  <c r="H44" i="4" s="1"/>
  <c r="L45" i="4"/>
  <c r="M46" i="4"/>
  <c r="E47" i="4"/>
  <c r="H47" i="4" s="1"/>
  <c r="L71" i="4"/>
  <c r="K71" i="4"/>
  <c r="E71" i="4"/>
  <c r="M71" i="4"/>
  <c r="L79" i="4"/>
  <c r="K79" i="4"/>
  <c r="E79" i="4"/>
  <c r="M79" i="4"/>
  <c r="L87" i="4"/>
  <c r="K87" i="4"/>
  <c r="E87" i="4"/>
  <c r="M87" i="4"/>
  <c r="L95" i="4"/>
  <c r="K95" i="4"/>
  <c r="E95" i="4"/>
  <c r="M95" i="4"/>
  <c r="L103" i="4"/>
  <c r="K103" i="4"/>
  <c r="E103" i="4"/>
  <c r="M103" i="4"/>
  <c r="L111" i="4"/>
  <c r="K111" i="4"/>
  <c r="E111" i="4"/>
  <c r="M111" i="4"/>
  <c r="L119" i="4"/>
  <c r="K119" i="4"/>
  <c r="E119" i="4"/>
  <c r="M119" i="4"/>
  <c r="L127" i="4"/>
  <c r="K127" i="4"/>
  <c r="E127" i="4"/>
  <c r="M127" i="4"/>
  <c r="E29" i="3"/>
  <c r="E31" i="3" s="1"/>
  <c r="E38" i="3" s="1"/>
  <c r="E49" i="3" s="1"/>
  <c r="E52" i="3" s="1"/>
  <c r="E59" i="3" s="1"/>
  <c r="E67" i="3" s="1"/>
  <c r="E31" i="4"/>
  <c r="H31" i="4" s="1"/>
  <c r="S33" i="4"/>
  <c r="L34" i="4"/>
  <c r="K34" i="4"/>
  <c r="E34" i="4"/>
  <c r="H34" i="4" s="1"/>
  <c r="E37" i="4"/>
  <c r="H37" i="4" s="1"/>
  <c r="S41" i="4"/>
  <c r="L42" i="4"/>
  <c r="K42" i="4"/>
  <c r="E42" i="4"/>
  <c r="H42" i="4" s="1"/>
  <c r="E45" i="4"/>
  <c r="H45" i="4" s="1"/>
  <c r="K51" i="4"/>
  <c r="E51" i="4"/>
  <c r="H51" i="4" s="1"/>
  <c r="M51" i="4"/>
  <c r="K53" i="4"/>
  <c r="E53" i="4"/>
  <c r="M53" i="4"/>
  <c r="K55" i="4"/>
  <c r="E55" i="4"/>
  <c r="H55" i="4" s="1"/>
  <c r="M55" i="4"/>
  <c r="K57" i="4"/>
  <c r="E57" i="4"/>
  <c r="M57" i="4"/>
  <c r="K59" i="4"/>
  <c r="E59" i="4"/>
  <c r="H59" i="4" s="1"/>
  <c r="M59" i="4"/>
  <c r="K61" i="4"/>
  <c r="E61" i="4"/>
  <c r="M61" i="4"/>
  <c r="K63" i="4"/>
  <c r="E63" i="4"/>
  <c r="H63" i="4" s="1"/>
  <c r="M63" i="4"/>
  <c r="L69" i="4"/>
  <c r="K69" i="4"/>
  <c r="E69" i="4"/>
  <c r="H69" i="4" s="1"/>
  <c r="M69" i="4"/>
  <c r="L77" i="4"/>
  <c r="K77" i="4"/>
  <c r="E77" i="4"/>
  <c r="H77" i="4" s="1"/>
  <c r="M77" i="4"/>
  <c r="L85" i="4"/>
  <c r="K85" i="4"/>
  <c r="E85" i="4"/>
  <c r="H85" i="4" s="1"/>
  <c r="M85" i="4"/>
  <c r="L93" i="4"/>
  <c r="K93" i="4"/>
  <c r="E93" i="4"/>
  <c r="H93" i="4" s="1"/>
  <c r="M93" i="4"/>
  <c r="L101" i="4"/>
  <c r="K101" i="4"/>
  <c r="E101" i="4"/>
  <c r="H101" i="4" s="1"/>
  <c r="M101" i="4"/>
  <c r="L109" i="4"/>
  <c r="K109" i="4"/>
  <c r="E109" i="4"/>
  <c r="H109" i="4" s="1"/>
  <c r="M109" i="4"/>
  <c r="L117" i="4"/>
  <c r="K117" i="4"/>
  <c r="E117" i="4"/>
  <c r="H117" i="4" s="1"/>
  <c r="M117" i="4"/>
  <c r="L125" i="4"/>
  <c r="K125" i="4"/>
  <c r="E125" i="4"/>
  <c r="H125" i="4" s="1"/>
  <c r="M125" i="4"/>
  <c r="R137" i="4"/>
  <c r="U137" i="4"/>
  <c r="E64" i="4"/>
  <c r="H64" i="4" s="1"/>
  <c r="K64" i="4"/>
  <c r="E66" i="4"/>
  <c r="H66" i="4" s="1"/>
  <c r="K66" i="4"/>
  <c r="E68" i="4"/>
  <c r="H68" i="4" s="1"/>
  <c r="K68" i="4"/>
  <c r="E70" i="4"/>
  <c r="H70" i="4" s="1"/>
  <c r="K70" i="4"/>
  <c r="E72" i="4"/>
  <c r="H72" i="4" s="1"/>
  <c r="K72" i="4"/>
  <c r="E74" i="4"/>
  <c r="H74" i="4" s="1"/>
  <c r="K74" i="4"/>
  <c r="E76" i="4"/>
  <c r="H76" i="4" s="1"/>
  <c r="K76" i="4"/>
  <c r="E78" i="4"/>
  <c r="H78" i="4" s="1"/>
  <c r="K78" i="4"/>
  <c r="E80" i="4"/>
  <c r="H80" i="4" s="1"/>
  <c r="K80" i="4"/>
  <c r="E82" i="4"/>
  <c r="H82" i="4" s="1"/>
  <c r="K82" i="4"/>
  <c r="E84" i="4"/>
  <c r="H84" i="4" s="1"/>
  <c r="K84" i="4"/>
  <c r="E86" i="4"/>
  <c r="H86" i="4" s="1"/>
  <c r="K86" i="4"/>
  <c r="E88" i="4"/>
  <c r="H88" i="4" s="1"/>
  <c r="K88" i="4"/>
  <c r="E90" i="4"/>
  <c r="H90" i="4" s="1"/>
  <c r="K90" i="4"/>
  <c r="E92" i="4"/>
  <c r="H92" i="4" s="1"/>
  <c r="K92" i="4"/>
  <c r="E94" i="4"/>
  <c r="H94" i="4" s="1"/>
  <c r="K94" i="4"/>
  <c r="E96" i="4"/>
  <c r="H96" i="4" s="1"/>
  <c r="K96" i="4"/>
  <c r="E98" i="4"/>
  <c r="H98" i="4" s="1"/>
  <c r="K98" i="4"/>
  <c r="E100" i="4"/>
  <c r="H100" i="4" s="1"/>
  <c r="K100" i="4"/>
  <c r="E102" i="4"/>
  <c r="H102" i="4" s="1"/>
  <c r="K102" i="4"/>
  <c r="E104" i="4"/>
  <c r="H104" i="4" s="1"/>
  <c r="K104" i="4"/>
  <c r="E106" i="4"/>
  <c r="H106" i="4" s="1"/>
  <c r="K106" i="4"/>
  <c r="E108" i="4"/>
  <c r="H108" i="4" s="1"/>
  <c r="K108" i="4"/>
  <c r="E110" i="4"/>
  <c r="H110" i="4" s="1"/>
  <c r="K110" i="4"/>
  <c r="E112" i="4"/>
  <c r="H112" i="4" s="1"/>
  <c r="K112" i="4"/>
  <c r="E114" i="4"/>
  <c r="H114" i="4" s="1"/>
  <c r="K114" i="4"/>
  <c r="E116" i="4"/>
  <c r="H116" i="4" s="1"/>
  <c r="K116" i="4"/>
  <c r="E118" i="4"/>
  <c r="H118" i="4" s="1"/>
  <c r="K118" i="4"/>
  <c r="E120" i="4"/>
  <c r="H120" i="4" s="1"/>
  <c r="K120" i="4"/>
  <c r="E122" i="4"/>
  <c r="H122" i="4" s="1"/>
  <c r="K122" i="4"/>
  <c r="E124" i="4"/>
  <c r="H124" i="4" s="1"/>
  <c r="K124" i="4"/>
  <c r="E126" i="4"/>
  <c r="H126" i="4" s="1"/>
  <c r="K126" i="4"/>
  <c r="E128" i="4"/>
  <c r="H128" i="4" s="1"/>
  <c r="K128" i="4"/>
  <c r="E130" i="4"/>
  <c r="H130" i="4" s="1"/>
  <c r="K130" i="4"/>
  <c r="E132" i="4"/>
  <c r="H132" i="4" s="1"/>
  <c r="L132" i="4"/>
  <c r="K133" i="4"/>
  <c r="K134" i="4"/>
  <c r="E134" i="4"/>
  <c r="L134" i="4"/>
  <c r="K141" i="4"/>
  <c r="K142" i="4"/>
  <c r="E142" i="4"/>
  <c r="H142" i="4" s="1"/>
  <c r="L142" i="4"/>
  <c r="K147" i="4"/>
  <c r="H149" i="4"/>
  <c r="K151" i="4"/>
  <c r="K155" i="4"/>
  <c r="L12" i="5"/>
  <c r="K12" i="5"/>
  <c r="E12" i="5"/>
  <c r="H12" i="5" s="1"/>
  <c r="M12" i="5"/>
  <c r="M14" i="5"/>
  <c r="L14" i="5"/>
  <c r="K14" i="5"/>
  <c r="E14" i="5"/>
  <c r="M19" i="5"/>
  <c r="L19" i="5"/>
  <c r="K19" i="5"/>
  <c r="E19" i="5"/>
  <c r="S28" i="5"/>
  <c r="U28" i="5" s="1"/>
  <c r="W28" i="5" s="1"/>
  <c r="N28" i="5"/>
  <c r="O28" i="5" s="1"/>
  <c r="P28" i="5" s="1"/>
  <c r="Q28" i="5" s="1"/>
  <c r="M30" i="5"/>
  <c r="L30" i="5"/>
  <c r="K30" i="5"/>
  <c r="E30" i="5"/>
  <c r="M35" i="5"/>
  <c r="L35" i="5"/>
  <c r="K35" i="5"/>
  <c r="E35" i="5"/>
  <c r="S44" i="5"/>
  <c r="U44" i="5" s="1"/>
  <c r="W44" i="5" s="1"/>
  <c r="N44" i="5"/>
  <c r="O44" i="5" s="1"/>
  <c r="P44" i="5" s="1"/>
  <c r="Q44" i="5" s="1"/>
  <c r="M46" i="5"/>
  <c r="L46" i="5"/>
  <c r="K46" i="5"/>
  <c r="E46" i="5"/>
  <c r="M51" i="5"/>
  <c r="L51" i="5"/>
  <c r="K51" i="5"/>
  <c r="E51" i="5"/>
  <c r="S60" i="5"/>
  <c r="U60" i="5" s="1"/>
  <c r="W60" i="5" s="1"/>
  <c r="N60" i="5"/>
  <c r="O60" i="5" s="1"/>
  <c r="P60" i="5" s="1"/>
  <c r="Q60" i="5" s="1"/>
  <c r="M62" i="5"/>
  <c r="L62" i="5"/>
  <c r="K62" i="5"/>
  <c r="E62" i="5"/>
  <c r="M67" i="5"/>
  <c r="L67" i="5"/>
  <c r="K67" i="5"/>
  <c r="E67" i="5"/>
  <c r="M79" i="5"/>
  <c r="L79" i="5"/>
  <c r="E79" i="5"/>
  <c r="H79" i="5" s="1"/>
  <c r="K79" i="5"/>
  <c r="K14" i="6"/>
  <c r="E14" i="6"/>
  <c r="M14" i="6"/>
  <c r="L14" i="6"/>
  <c r="R15" i="6"/>
  <c r="Y15" i="6"/>
  <c r="R19" i="6"/>
  <c r="Y19" i="6"/>
  <c r="R25" i="6"/>
  <c r="Y25" i="6"/>
  <c r="L64" i="4"/>
  <c r="L66" i="4"/>
  <c r="L68" i="4"/>
  <c r="L70" i="4"/>
  <c r="L72" i="4"/>
  <c r="L74" i="4"/>
  <c r="L76" i="4"/>
  <c r="L78" i="4"/>
  <c r="L80" i="4"/>
  <c r="L82" i="4"/>
  <c r="L84" i="4"/>
  <c r="L86" i="4"/>
  <c r="L88" i="4"/>
  <c r="L90" i="4"/>
  <c r="L92" i="4"/>
  <c r="L94" i="4"/>
  <c r="L96" i="4"/>
  <c r="L98" i="4"/>
  <c r="L100" i="4"/>
  <c r="L102" i="4"/>
  <c r="L104" i="4"/>
  <c r="L106" i="4"/>
  <c r="L108" i="4"/>
  <c r="L110" i="4"/>
  <c r="L112" i="4"/>
  <c r="L114" i="4"/>
  <c r="L116" i="4"/>
  <c r="L118" i="4"/>
  <c r="L120" i="4"/>
  <c r="L122" i="4"/>
  <c r="L124" i="4"/>
  <c r="L126" i="4"/>
  <c r="L128" i="4"/>
  <c r="L130" i="4"/>
  <c r="M132" i="4"/>
  <c r="L133" i="4"/>
  <c r="M134" i="4"/>
  <c r="E135" i="4"/>
  <c r="H135" i="4" s="1"/>
  <c r="K139" i="4"/>
  <c r="K140" i="4"/>
  <c r="E140" i="4"/>
  <c r="H140" i="4" s="1"/>
  <c r="L140" i="4"/>
  <c r="L141" i="4"/>
  <c r="M142" i="4"/>
  <c r="E143" i="4"/>
  <c r="H143" i="4" s="1"/>
  <c r="M145" i="4"/>
  <c r="H145" i="4" s="1"/>
  <c r="L145" i="4"/>
  <c r="M149" i="4"/>
  <c r="L149" i="4"/>
  <c r="M153" i="4"/>
  <c r="H153" i="4" s="1"/>
  <c r="L153" i="4"/>
  <c r="M10" i="5"/>
  <c r="K10" i="5"/>
  <c r="E10" i="5"/>
  <c r="H10" i="5" s="1"/>
  <c r="M15" i="5"/>
  <c r="L15" i="5"/>
  <c r="K15" i="5"/>
  <c r="E15" i="5"/>
  <c r="S24" i="5"/>
  <c r="U24" i="5" s="1"/>
  <c r="W24" i="5" s="1"/>
  <c r="N24" i="5"/>
  <c r="O24" i="5" s="1"/>
  <c r="P24" i="5" s="1"/>
  <c r="Q24" i="5" s="1"/>
  <c r="M26" i="5"/>
  <c r="L26" i="5"/>
  <c r="K26" i="5"/>
  <c r="E26" i="5"/>
  <c r="M31" i="5"/>
  <c r="L31" i="5"/>
  <c r="K31" i="5"/>
  <c r="E31" i="5"/>
  <c r="S40" i="5"/>
  <c r="U40" i="5" s="1"/>
  <c r="W40" i="5" s="1"/>
  <c r="N40" i="5"/>
  <c r="O40" i="5" s="1"/>
  <c r="P40" i="5" s="1"/>
  <c r="Q40" i="5" s="1"/>
  <c r="M42" i="5"/>
  <c r="L42" i="5"/>
  <c r="K42" i="5"/>
  <c r="E42" i="5"/>
  <c r="M47" i="5"/>
  <c r="L47" i="5"/>
  <c r="K47" i="5"/>
  <c r="E47" i="5"/>
  <c r="S56" i="5"/>
  <c r="U56" i="5" s="1"/>
  <c r="W56" i="5" s="1"/>
  <c r="N56" i="5"/>
  <c r="O56" i="5" s="1"/>
  <c r="P56" i="5" s="1"/>
  <c r="Q56" i="5" s="1"/>
  <c r="M58" i="5"/>
  <c r="L58" i="5"/>
  <c r="K58" i="5"/>
  <c r="E58" i="5"/>
  <c r="M63" i="5"/>
  <c r="L63" i="5"/>
  <c r="K63" i="5"/>
  <c r="E63" i="5"/>
  <c r="S72" i="5"/>
  <c r="U72" i="5" s="1"/>
  <c r="W72" i="5" s="1"/>
  <c r="N72" i="5"/>
  <c r="O72" i="5" s="1"/>
  <c r="P72" i="5" s="1"/>
  <c r="Q72" i="5" s="1"/>
  <c r="M74" i="5"/>
  <c r="L74" i="5"/>
  <c r="K74" i="5"/>
  <c r="E74" i="5"/>
  <c r="Y13" i="6"/>
  <c r="R13" i="6"/>
  <c r="M18" i="6"/>
  <c r="K18" i="6"/>
  <c r="E18" i="6"/>
  <c r="L18" i="6"/>
  <c r="K20" i="6"/>
  <c r="E20" i="6"/>
  <c r="M20" i="6"/>
  <c r="L20" i="6"/>
  <c r="R21" i="6"/>
  <c r="Y21" i="6"/>
  <c r="R23" i="6"/>
  <c r="Y23" i="6"/>
  <c r="E133" i="4"/>
  <c r="H133" i="4" s="1"/>
  <c r="S137" i="4"/>
  <c r="K138" i="4"/>
  <c r="E138" i="4"/>
  <c r="H138" i="4" s="1"/>
  <c r="L138" i="4"/>
  <c r="L139" i="4"/>
  <c r="E141" i="4"/>
  <c r="H141" i="4" s="1"/>
  <c r="N10" i="5"/>
  <c r="O10" i="5" s="1"/>
  <c r="P10" i="5" s="1"/>
  <c r="Q10" i="5" s="1"/>
  <c r="S10" i="5"/>
  <c r="U10" i="5" s="1"/>
  <c r="W10" i="5" s="1"/>
  <c r="M11" i="5"/>
  <c r="H11" i="5" s="1"/>
  <c r="L11" i="5"/>
  <c r="S20" i="5"/>
  <c r="U20" i="5" s="1"/>
  <c r="W20" i="5" s="1"/>
  <c r="N20" i="5"/>
  <c r="O20" i="5" s="1"/>
  <c r="P20" i="5" s="1"/>
  <c r="Q20" i="5" s="1"/>
  <c r="M22" i="5"/>
  <c r="L22" i="5"/>
  <c r="K22" i="5"/>
  <c r="E22" i="5"/>
  <c r="H22" i="5" s="1"/>
  <c r="M27" i="5"/>
  <c r="L27" i="5"/>
  <c r="K27" i="5"/>
  <c r="E27" i="5"/>
  <c r="H27" i="5" s="1"/>
  <c r="S36" i="5"/>
  <c r="U36" i="5" s="1"/>
  <c r="W36" i="5" s="1"/>
  <c r="N36" i="5"/>
  <c r="O36" i="5" s="1"/>
  <c r="P36" i="5" s="1"/>
  <c r="Q36" i="5" s="1"/>
  <c r="M38" i="5"/>
  <c r="L38" i="5"/>
  <c r="K38" i="5"/>
  <c r="E38" i="5"/>
  <c r="H38" i="5" s="1"/>
  <c r="M43" i="5"/>
  <c r="L43" i="5"/>
  <c r="K43" i="5"/>
  <c r="E43" i="5"/>
  <c r="H43" i="5" s="1"/>
  <c r="S52" i="5"/>
  <c r="U52" i="5" s="1"/>
  <c r="W52" i="5" s="1"/>
  <c r="N52" i="5"/>
  <c r="O52" i="5" s="1"/>
  <c r="P52" i="5" s="1"/>
  <c r="Q52" i="5" s="1"/>
  <c r="M54" i="5"/>
  <c r="L54" i="5"/>
  <c r="K54" i="5"/>
  <c r="E54" i="5"/>
  <c r="H54" i="5" s="1"/>
  <c r="M59" i="5"/>
  <c r="L59" i="5"/>
  <c r="K59" i="5"/>
  <c r="E59" i="5"/>
  <c r="H59" i="5" s="1"/>
  <c r="S68" i="5"/>
  <c r="U68" i="5" s="1"/>
  <c r="W68" i="5" s="1"/>
  <c r="N68" i="5"/>
  <c r="O68" i="5" s="1"/>
  <c r="P68" i="5" s="1"/>
  <c r="Q68" i="5" s="1"/>
  <c r="M70" i="5"/>
  <c r="L70" i="5"/>
  <c r="K70" i="5"/>
  <c r="E70" i="5"/>
  <c r="H70" i="5" s="1"/>
  <c r="M75" i="5"/>
  <c r="L75" i="5"/>
  <c r="K75" i="5"/>
  <c r="E75" i="5"/>
  <c r="H75" i="5" s="1"/>
  <c r="H15" i="6"/>
  <c r="Y17" i="6"/>
  <c r="R17" i="6"/>
  <c r="M22" i="6"/>
  <c r="K22" i="6"/>
  <c r="E22" i="6"/>
  <c r="H22" i="6" s="1"/>
  <c r="L22" i="6"/>
  <c r="K136" i="4"/>
  <c r="E136" i="4"/>
  <c r="H136" i="4" s="1"/>
  <c r="L136" i="4"/>
  <c r="K144" i="4"/>
  <c r="E144" i="4"/>
  <c r="H144" i="4" s="1"/>
  <c r="L144" i="4"/>
  <c r="M147" i="4"/>
  <c r="H147" i="4" s="1"/>
  <c r="L147" i="4"/>
  <c r="M151" i="4"/>
  <c r="L151" i="4"/>
  <c r="M155" i="4"/>
  <c r="H155" i="4" s="1"/>
  <c r="L155" i="4"/>
  <c r="S16" i="5"/>
  <c r="U16" i="5" s="1"/>
  <c r="W16" i="5" s="1"/>
  <c r="N16" i="5"/>
  <c r="O16" i="5" s="1"/>
  <c r="P16" i="5" s="1"/>
  <c r="Q16" i="5" s="1"/>
  <c r="M18" i="5"/>
  <c r="L18" i="5"/>
  <c r="K18" i="5"/>
  <c r="E18" i="5"/>
  <c r="M23" i="5"/>
  <c r="L23" i="5"/>
  <c r="K23" i="5"/>
  <c r="E23" i="5"/>
  <c r="S32" i="5"/>
  <c r="U32" i="5" s="1"/>
  <c r="W32" i="5" s="1"/>
  <c r="N32" i="5"/>
  <c r="O32" i="5" s="1"/>
  <c r="P32" i="5" s="1"/>
  <c r="Q32" i="5" s="1"/>
  <c r="M34" i="5"/>
  <c r="L34" i="5"/>
  <c r="K34" i="5"/>
  <c r="E34" i="5"/>
  <c r="M39" i="5"/>
  <c r="L39" i="5"/>
  <c r="K39" i="5"/>
  <c r="E39" i="5"/>
  <c r="S48" i="5"/>
  <c r="U48" i="5" s="1"/>
  <c r="W48" i="5" s="1"/>
  <c r="N48" i="5"/>
  <c r="O48" i="5" s="1"/>
  <c r="P48" i="5" s="1"/>
  <c r="Q48" i="5" s="1"/>
  <c r="M50" i="5"/>
  <c r="L50" i="5"/>
  <c r="K50" i="5"/>
  <c r="E50" i="5"/>
  <c r="M55" i="5"/>
  <c r="L55" i="5"/>
  <c r="K55" i="5"/>
  <c r="E55" i="5"/>
  <c r="S64" i="5"/>
  <c r="U64" i="5" s="1"/>
  <c r="W64" i="5" s="1"/>
  <c r="N64" i="5"/>
  <c r="O64" i="5" s="1"/>
  <c r="P64" i="5" s="1"/>
  <c r="Q64" i="5" s="1"/>
  <c r="M66" i="5"/>
  <c r="L66" i="5"/>
  <c r="K66" i="5"/>
  <c r="E66" i="5"/>
  <c r="M71" i="5"/>
  <c r="L71" i="5"/>
  <c r="K71" i="5"/>
  <c r="E71" i="5"/>
  <c r="R27" i="6"/>
  <c r="Y27" i="6"/>
  <c r="R29" i="6"/>
  <c r="Y29" i="6"/>
  <c r="R33" i="6"/>
  <c r="Y33" i="6"/>
  <c r="L146" i="4"/>
  <c r="L148" i="4"/>
  <c r="L150" i="4"/>
  <c r="L152" i="4"/>
  <c r="L154" i="4"/>
  <c r="L9" i="5"/>
  <c r="L13" i="5"/>
  <c r="M16" i="5"/>
  <c r="L17" i="5"/>
  <c r="M20" i="5"/>
  <c r="L21" i="5"/>
  <c r="M24" i="5"/>
  <c r="L25" i="5"/>
  <c r="M28" i="5"/>
  <c r="L29" i="5"/>
  <c r="M32" i="5"/>
  <c r="L33" i="5"/>
  <c r="M36" i="5"/>
  <c r="L37" i="5"/>
  <c r="M40" i="5"/>
  <c r="L41" i="5"/>
  <c r="M44" i="5"/>
  <c r="L45" i="5"/>
  <c r="M48" i="5"/>
  <c r="L49" i="5"/>
  <c r="M52" i="5"/>
  <c r="L53" i="5"/>
  <c r="M56" i="5"/>
  <c r="L57" i="5"/>
  <c r="M60" i="5"/>
  <c r="L61" i="5"/>
  <c r="M64" i="5"/>
  <c r="L65" i="5"/>
  <c r="M68" i="5"/>
  <c r="L69" i="5"/>
  <c r="M72" i="5"/>
  <c r="L73" i="5"/>
  <c r="N76" i="5"/>
  <c r="O76" i="5" s="1"/>
  <c r="P76" i="5" s="1"/>
  <c r="Q76" i="5" s="1"/>
  <c r="E78" i="5"/>
  <c r="L78" i="5"/>
  <c r="N9" i="6"/>
  <c r="O9" i="6" s="1"/>
  <c r="P9" i="6" s="1"/>
  <c r="Q9" i="6" s="1"/>
  <c r="E11" i="6"/>
  <c r="L11" i="6"/>
  <c r="M13" i="6"/>
  <c r="K15" i="6"/>
  <c r="K23" i="6"/>
  <c r="S23" i="6"/>
  <c r="U23" i="6" s="1"/>
  <c r="W23" i="6" s="1"/>
  <c r="E27" i="6"/>
  <c r="M27" i="6"/>
  <c r="K28" i="6"/>
  <c r="E28" i="6"/>
  <c r="H28" i="6" s="1"/>
  <c r="M28" i="6"/>
  <c r="M30" i="6"/>
  <c r="K30" i="6"/>
  <c r="E30" i="6"/>
  <c r="L31" i="6"/>
  <c r="K31" i="6"/>
  <c r="S36" i="6"/>
  <c r="U36" i="6" s="1"/>
  <c r="W36" i="6" s="1"/>
  <c r="N36" i="6"/>
  <c r="O36" i="6" s="1"/>
  <c r="P36" i="6" s="1"/>
  <c r="Q36" i="6" s="1"/>
  <c r="Y37" i="6"/>
  <c r="L40" i="6"/>
  <c r="K40" i="6"/>
  <c r="E40" i="6"/>
  <c r="H40" i="6" s="1"/>
  <c r="M40" i="6"/>
  <c r="S41" i="6"/>
  <c r="U41" i="6" s="1"/>
  <c r="W41" i="6" s="1"/>
  <c r="N41" i="6"/>
  <c r="O41" i="6" s="1"/>
  <c r="P41" i="6" s="1"/>
  <c r="Q41" i="6" s="1"/>
  <c r="M47" i="6"/>
  <c r="L47" i="6"/>
  <c r="K47" i="6"/>
  <c r="E47" i="6"/>
  <c r="L56" i="6"/>
  <c r="K56" i="6"/>
  <c r="E56" i="6"/>
  <c r="H56" i="6" s="1"/>
  <c r="M56" i="6"/>
  <c r="S57" i="6"/>
  <c r="U57" i="6" s="1"/>
  <c r="W57" i="6" s="1"/>
  <c r="N57" i="6"/>
  <c r="O57" i="6" s="1"/>
  <c r="P57" i="6" s="1"/>
  <c r="Q57" i="6" s="1"/>
  <c r="M63" i="6"/>
  <c r="L63" i="6"/>
  <c r="K63" i="6"/>
  <c r="E63" i="6"/>
  <c r="L72" i="6"/>
  <c r="K72" i="6"/>
  <c r="E72" i="6"/>
  <c r="H72" i="6" s="1"/>
  <c r="M72" i="6"/>
  <c r="S73" i="6"/>
  <c r="U73" i="6" s="1"/>
  <c r="W73" i="6" s="1"/>
  <c r="N73" i="6"/>
  <c r="O73" i="6" s="1"/>
  <c r="P73" i="6" s="1"/>
  <c r="Q73" i="6" s="1"/>
  <c r="M79" i="6"/>
  <c r="L79" i="6"/>
  <c r="K79" i="6"/>
  <c r="E79" i="6"/>
  <c r="Y87" i="6"/>
  <c r="R87" i="6"/>
  <c r="N101" i="6"/>
  <c r="O101" i="6" s="1"/>
  <c r="P101" i="6" s="1"/>
  <c r="Q101" i="6" s="1"/>
  <c r="S101" i="6"/>
  <c r="U101" i="6" s="1"/>
  <c r="W101" i="6" s="1"/>
  <c r="M78" i="5"/>
  <c r="M11" i="6"/>
  <c r="K24" i="6"/>
  <c r="E24" i="6"/>
  <c r="M24" i="6"/>
  <c r="M26" i="6"/>
  <c r="K26" i="6"/>
  <c r="E26" i="6"/>
  <c r="S33" i="6"/>
  <c r="U33" i="6" s="1"/>
  <c r="W33" i="6" s="1"/>
  <c r="M34" i="6"/>
  <c r="L34" i="6"/>
  <c r="K34" i="6"/>
  <c r="E34" i="6"/>
  <c r="H34" i="6" s="1"/>
  <c r="L35" i="6"/>
  <c r="K35" i="6"/>
  <c r="E35" i="6"/>
  <c r="L44" i="6"/>
  <c r="K44" i="6"/>
  <c r="E44" i="6"/>
  <c r="H44" i="6" s="1"/>
  <c r="M44" i="6"/>
  <c r="S45" i="6"/>
  <c r="U45" i="6" s="1"/>
  <c r="W45" i="6" s="1"/>
  <c r="N45" i="6"/>
  <c r="O45" i="6" s="1"/>
  <c r="P45" i="6" s="1"/>
  <c r="Q45" i="6" s="1"/>
  <c r="M51" i="6"/>
  <c r="L51" i="6"/>
  <c r="K51" i="6"/>
  <c r="E51" i="6"/>
  <c r="L60" i="6"/>
  <c r="K60" i="6"/>
  <c r="E60" i="6"/>
  <c r="H60" i="6" s="1"/>
  <c r="M60" i="6"/>
  <c r="S61" i="6"/>
  <c r="U61" i="6" s="1"/>
  <c r="W61" i="6" s="1"/>
  <c r="N61" i="6"/>
  <c r="O61" i="6" s="1"/>
  <c r="P61" i="6" s="1"/>
  <c r="Q61" i="6" s="1"/>
  <c r="M67" i="6"/>
  <c r="L67" i="6"/>
  <c r="K67" i="6"/>
  <c r="E67" i="6"/>
  <c r="L76" i="6"/>
  <c r="K76" i="6"/>
  <c r="E76" i="6"/>
  <c r="H76" i="6" s="1"/>
  <c r="M76" i="6"/>
  <c r="S77" i="6"/>
  <c r="U77" i="6" s="1"/>
  <c r="W77" i="6" s="1"/>
  <c r="N77" i="6"/>
  <c r="O77" i="6" s="1"/>
  <c r="P77" i="6" s="1"/>
  <c r="Q77" i="6" s="1"/>
  <c r="M83" i="6"/>
  <c r="L83" i="6"/>
  <c r="K83" i="6"/>
  <c r="E83" i="6"/>
  <c r="R89" i="6"/>
  <c r="Y89" i="6"/>
  <c r="N105" i="6"/>
  <c r="O105" i="6" s="1"/>
  <c r="P105" i="6" s="1"/>
  <c r="Q105" i="6" s="1"/>
  <c r="S105" i="6"/>
  <c r="U105" i="6" s="1"/>
  <c r="W105" i="6" s="1"/>
  <c r="E16" i="5"/>
  <c r="H16" i="5" s="1"/>
  <c r="K16" i="5"/>
  <c r="E20" i="5"/>
  <c r="H20" i="5" s="1"/>
  <c r="K20" i="5"/>
  <c r="E24" i="5"/>
  <c r="H24" i="5" s="1"/>
  <c r="K24" i="5"/>
  <c r="E28" i="5"/>
  <c r="H28" i="5" s="1"/>
  <c r="K28" i="5"/>
  <c r="E32" i="5"/>
  <c r="H32" i="5" s="1"/>
  <c r="K32" i="5"/>
  <c r="E36" i="5"/>
  <c r="H36" i="5" s="1"/>
  <c r="K36" i="5"/>
  <c r="E40" i="5"/>
  <c r="H40" i="5" s="1"/>
  <c r="K40" i="5"/>
  <c r="E44" i="5"/>
  <c r="H44" i="5" s="1"/>
  <c r="K44" i="5"/>
  <c r="E48" i="5"/>
  <c r="H48" i="5" s="1"/>
  <c r="K48" i="5"/>
  <c r="E52" i="5"/>
  <c r="H52" i="5" s="1"/>
  <c r="K52" i="5"/>
  <c r="E56" i="5"/>
  <c r="H56" i="5" s="1"/>
  <c r="K56" i="5"/>
  <c r="E60" i="5"/>
  <c r="H60" i="5" s="1"/>
  <c r="K60" i="5"/>
  <c r="E64" i="5"/>
  <c r="H64" i="5" s="1"/>
  <c r="K64" i="5"/>
  <c r="E68" i="5"/>
  <c r="H68" i="5" s="1"/>
  <c r="K68" i="5"/>
  <c r="E72" i="5"/>
  <c r="H72" i="5" s="1"/>
  <c r="K72" i="5"/>
  <c r="E76" i="5"/>
  <c r="H76" i="5" s="1"/>
  <c r="K76" i="5"/>
  <c r="K77" i="5"/>
  <c r="E77" i="5"/>
  <c r="H77" i="5" s="1"/>
  <c r="E9" i="6"/>
  <c r="K9" i="6"/>
  <c r="K10" i="6"/>
  <c r="E10" i="6"/>
  <c r="H10" i="6" s="1"/>
  <c r="S15" i="6"/>
  <c r="U15" i="6" s="1"/>
  <c r="W15" i="6" s="1"/>
  <c r="K16" i="6"/>
  <c r="L24" i="6"/>
  <c r="L26" i="6"/>
  <c r="N28" i="6"/>
  <c r="O28" i="6" s="1"/>
  <c r="P28" i="6" s="1"/>
  <c r="Q28" i="6" s="1"/>
  <c r="N30" i="6"/>
  <c r="O30" i="6" s="1"/>
  <c r="P30" i="6" s="1"/>
  <c r="Q30" i="6" s="1"/>
  <c r="M31" i="6"/>
  <c r="K32" i="6"/>
  <c r="E32" i="6"/>
  <c r="H32" i="6" s="1"/>
  <c r="M32" i="6"/>
  <c r="S37" i="6"/>
  <c r="U37" i="6" s="1"/>
  <c r="W37" i="6" s="1"/>
  <c r="M38" i="6"/>
  <c r="L38" i="6"/>
  <c r="K38" i="6"/>
  <c r="E38" i="6"/>
  <c r="H38" i="6" s="1"/>
  <c r="L39" i="6"/>
  <c r="K39" i="6"/>
  <c r="E39" i="6"/>
  <c r="H39" i="6" s="1"/>
  <c r="L48" i="6"/>
  <c r="K48" i="6"/>
  <c r="E48" i="6"/>
  <c r="H48" i="6" s="1"/>
  <c r="M48" i="6"/>
  <c r="S49" i="6"/>
  <c r="U49" i="6" s="1"/>
  <c r="W49" i="6" s="1"/>
  <c r="N49" i="6"/>
  <c r="O49" i="6" s="1"/>
  <c r="P49" i="6" s="1"/>
  <c r="Q49" i="6" s="1"/>
  <c r="M55" i="6"/>
  <c r="L55" i="6"/>
  <c r="K55" i="6"/>
  <c r="E55" i="6"/>
  <c r="L64" i="6"/>
  <c r="K64" i="6"/>
  <c r="E64" i="6"/>
  <c r="H64" i="6" s="1"/>
  <c r="M64" i="6"/>
  <c r="S65" i="6"/>
  <c r="U65" i="6" s="1"/>
  <c r="W65" i="6" s="1"/>
  <c r="N65" i="6"/>
  <c r="O65" i="6" s="1"/>
  <c r="P65" i="6" s="1"/>
  <c r="Q65" i="6" s="1"/>
  <c r="M71" i="6"/>
  <c r="L71" i="6"/>
  <c r="K71" i="6"/>
  <c r="E71" i="6"/>
  <c r="L80" i="6"/>
  <c r="K80" i="6"/>
  <c r="E80" i="6"/>
  <c r="H80" i="6" s="1"/>
  <c r="M80" i="6"/>
  <c r="S81" i="6"/>
  <c r="U81" i="6" s="1"/>
  <c r="W81" i="6" s="1"/>
  <c r="N81" i="6"/>
  <c r="O81" i="6" s="1"/>
  <c r="P81" i="6" s="1"/>
  <c r="Q81" i="6" s="1"/>
  <c r="M86" i="6"/>
  <c r="L86" i="6"/>
  <c r="E86" i="6"/>
  <c r="K86" i="6"/>
  <c r="R93" i="6"/>
  <c r="Y93" i="6"/>
  <c r="N109" i="6"/>
  <c r="O109" i="6" s="1"/>
  <c r="P109" i="6" s="1"/>
  <c r="Q109" i="6" s="1"/>
  <c r="S109" i="6"/>
  <c r="U109" i="6" s="1"/>
  <c r="W109" i="6" s="1"/>
  <c r="E146" i="4"/>
  <c r="H146" i="4" s="1"/>
  <c r="E148" i="4"/>
  <c r="H148" i="4" s="1"/>
  <c r="E150" i="4"/>
  <c r="H150" i="4" s="1"/>
  <c r="E152" i="4"/>
  <c r="H152" i="4" s="1"/>
  <c r="E154" i="4"/>
  <c r="H154" i="4" s="1"/>
  <c r="E9" i="5"/>
  <c r="H9" i="5" s="1"/>
  <c r="E13" i="5"/>
  <c r="H13" i="5" s="1"/>
  <c r="E17" i="5"/>
  <c r="H17" i="5" s="1"/>
  <c r="E21" i="5"/>
  <c r="H21" i="5" s="1"/>
  <c r="E25" i="5"/>
  <c r="H25" i="5" s="1"/>
  <c r="E29" i="5"/>
  <c r="H29" i="5" s="1"/>
  <c r="E33" i="5"/>
  <c r="H33" i="5" s="1"/>
  <c r="E37" i="5"/>
  <c r="H37" i="5" s="1"/>
  <c r="E41" i="5"/>
  <c r="H41" i="5" s="1"/>
  <c r="E45" i="5"/>
  <c r="H45" i="5" s="1"/>
  <c r="E49" i="5"/>
  <c r="H49" i="5" s="1"/>
  <c r="E53" i="5"/>
  <c r="H53" i="5" s="1"/>
  <c r="E57" i="5"/>
  <c r="H57" i="5" s="1"/>
  <c r="E61" i="5"/>
  <c r="H61" i="5" s="1"/>
  <c r="E65" i="5"/>
  <c r="H65" i="5" s="1"/>
  <c r="E69" i="5"/>
  <c r="H69" i="5" s="1"/>
  <c r="E73" i="5"/>
  <c r="H73" i="5" s="1"/>
  <c r="M76" i="5"/>
  <c r="L77" i="5"/>
  <c r="M9" i="6"/>
  <c r="L10" i="6"/>
  <c r="N12" i="6"/>
  <c r="O12" i="6" s="1"/>
  <c r="P12" i="6" s="1"/>
  <c r="Q12" i="6" s="1"/>
  <c r="E13" i="6"/>
  <c r="H13" i="6" s="1"/>
  <c r="K13" i="6"/>
  <c r="E16" i="6"/>
  <c r="H16" i="6" s="1"/>
  <c r="L16" i="6"/>
  <c r="K27" i="6"/>
  <c r="S27" i="6"/>
  <c r="U27" i="6" s="1"/>
  <c r="W27" i="6" s="1"/>
  <c r="S29" i="6"/>
  <c r="U29" i="6" s="1"/>
  <c r="W29" i="6" s="1"/>
  <c r="E31" i="6"/>
  <c r="H31" i="6" s="1"/>
  <c r="L32" i="6"/>
  <c r="M35" i="6"/>
  <c r="K36" i="6"/>
  <c r="E36" i="6"/>
  <c r="H36" i="6" s="1"/>
  <c r="M36" i="6"/>
  <c r="M43" i="6"/>
  <c r="L43" i="6"/>
  <c r="K43" i="6"/>
  <c r="E43" i="6"/>
  <c r="L52" i="6"/>
  <c r="K52" i="6"/>
  <c r="E52" i="6"/>
  <c r="H52" i="6" s="1"/>
  <c r="M52" i="6"/>
  <c r="S53" i="6"/>
  <c r="U53" i="6" s="1"/>
  <c r="W53" i="6" s="1"/>
  <c r="N53" i="6"/>
  <c r="O53" i="6" s="1"/>
  <c r="P53" i="6" s="1"/>
  <c r="Q53" i="6" s="1"/>
  <c r="M59" i="6"/>
  <c r="L59" i="6"/>
  <c r="K59" i="6"/>
  <c r="E59" i="6"/>
  <c r="L68" i="6"/>
  <c r="K68" i="6"/>
  <c r="E68" i="6"/>
  <c r="H68" i="6" s="1"/>
  <c r="M68" i="6"/>
  <c r="S69" i="6"/>
  <c r="U69" i="6" s="1"/>
  <c r="W69" i="6" s="1"/>
  <c r="N69" i="6"/>
  <c r="O69" i="6" s="1"/>
  <c r="P69" i="6" s="1"/>
  <c r="Q69" i="6" s="1"/>
  <c r="M75" i="6"/>
  <c r="L75" i="6"/>
  <c r="K75" i="6"/>
  <c r="E75" i="6"/>
  <c r="H98" i="6"/>
  <c r="E42" i="6"/>
  <c r="H42" i="6" s="1"/>
  <c r="K42" i="6"/>
  <c r="E46" i="6"/>
  <c r="H46" i="6" s="1"/>
  <c r="K46" i="6"/>
  <c r="E50" i="6"/>
  <c r="H50" i="6" s="1"/>
  <c r="K50" i="6"/>
  <c r="E54" i="6"/>
  <c r="H54" i="6" s="1"/>
  <c r="K54" i="6"/>
  <c r="E58" i="6"/>
  <c r="H58" i="6" s="1"/>
  <c r="K58" i="6"/>
  <c r="E62" i="6"/>
  <c r="H62" i="6" s="1"/>
  <c r="K62" i="6"/>
  <c r="E66" i="6"/>
  <c r="H66" i="6" s="1"/>
  <c r="K66" i="6"/>
  <c r="E70" i="6"/>
  <c r="H70" i="6" s="1"/>
  <c r="K70" i="6"/>
  <c r="E74" i="6"/>
  <c r="H74" i="6" s="1"/>
  <c r="K74" i="6"/>
  <c r="E78" i="6"/>
  <c r="H78" i="6" s="1"/>
  <c r="K78" i="6"/>
  <c r="E82" i="6"/>
  <c r="H82" i="6" s="1"/>
  <c r="K82" i="6"/>
  <c r="E85" i="6"/>
  <c r="H85" i="6" s="1"/>
  <c r="L85" i="6"/>
  <c r="M87" i="6"/>
  <c r="H87" i="6" s="1"/>
  <c r="L88" i="6"/>
  <c r="K89" i="6"/>
  <c r="S89" i="6"/>
  <c r="U89" i="6" s="1"/>
  <c r="W89" i="6" s="1"/>
  <c r="L91" i="6"/>
  <c r="K91" i="6"/>
  <c r="E91" i="6"/>
  <c r="H91" i="6" s="1"/>
  <c r="E93" i="6"/>
  <c r="H93" i="6" s="1"/>
  <c r="M94" i="6"/>
  <c r="L94" i="6"/>
  <c r="K97" i="6"/>
  <c r="H102" i="6"/>
  <c r="H106" i="6"/>
  <c r="H110" i="6"/>
  <c r="L42" i="6"/>
  <c r="L46" i="6"/>
  <c r="L50" i="6"/>
  <c r="L54" i="6"/>
  <c r="L58" i="6"/>
  <c r="L62" i="6"/>
  <c r="L66" i="6"/>
  <c r="L70" i="6"/>
  <c r="L74" i="6"/>
  <c r="L78" i="6"/>
  <c r="L82" i="6"/>
  <c r="N84" i="6"/>
  <c r="O84" i="6" s="1"/>
  <c r="P84" i="6" s="1"/>
  <c r="Q84" i="6" s="1"/>
  <c r="L92" i="6"/>
  <c r="K96" i="6"/>
  <c r="E96" i="6"/>
  <c r="H96" i="6" s="1"/>
  <c r="L97" i="6"/>
  <c r="L99" i="6"/>
  <c r="K99" i="6"/>
  <c r="E99" i="6"/>
  <c r="M99" i="6"/>
  <c r="K100" i="6"/>
  <c r="E100" i="6"/>
  <c r="H100" i="6" s="1"/>
  <c r="L100" i="6"/>
  <c r="L103" i="6"/>
  <c r="K103" i="6"/>
  <c r="E103" i="6"/>
  <c r="H103" i="6" s="1"/>
  <c r="M103" i="6"/>
  <c r="K104" i="6"/>
  <c r="E104" i="6"/>
  <c r="H104" i="6" s="1"/>
  <c r="L104" i="6"/>
  <c r="L107" i="6"/>
  <c r="K107" i="6"/>
  <c r="E107" i="6"/>
  <c r="M107" i="6"/>
  <c r="K108" i="6"/>
  <c r="E108" i="6"/>
  <c r="H108" i="6" s="1"/>
  <c r="L108" i="6"/>
  <c r="L111" i="6"/>
  <c r="K111" i="6"/>
  <c r="E111" i="6"/>
  <c r="H111" i="6" s="1"/>
  <c r="M111" i="6"/>
  <c r="K112" i="6"/>
  <c r="E112" i="6"/>
  <c r="H112" i="6" s="1"/>
  <c r="L112" i="6"/>
  <c r="H114" i="6"/>
  <c r="K116" i="6"/>
  <c r="E116" i="6"/>
  <c r="M116" i="6"/>
  <c r="L116" i="6"/>
  <c r="H118" i="6"/>
  <c r="K120" i="6"/>
  <c r="E120" i="6"/>
  <c r="H120" i="6" s="1"/>
  <c r="M120" i="6"/>
  <c r="L120" i="6"/>
  <c r="H122" i="6"/>
  <c r="K124" i="6"/>
  <c r="E124" i="6"/>
  <c r="M124" i="6"/>
  <c r="L124" i="6"/>
  <c r="H126" i="6"/>
  <c r="K128" i="6"/>
  <c r="E128" i="6"/>
  <c r="H128" i="6" s="1"/>
  <c r="M128" i="6"/>
  <c r="L128" i="6"/>
  <c r="H130" i="6"/>
  <c r="K132" i="6"/>
  <c r="E132" i="6"/>
  <c r="M132" i="6"/>
  <c r="L132" i="6"/>
  <c r="H134" i="6"/>
  <c r="K136" i="6"/>
  <c r="E136" i="6"/>
  <c r="H136" i="6" s="1"/>
  <c r="M136" i="6"/>
  <c r="L136" i="6"/>
  <c r="H138" i="6"/>
  <c r="K140" i="6"/>
  <c r="E140" i="6"/>
  <c r="M140" i="6"/>
  <c r="L140" i="6"/>
  <c r="H142" i="6"/>
  <c r="K144" i="6"/>
  <c r="E144" i="6"/>
  <c r="H144" i="6" s="1"/>
  <c r="M144" i="6"/>
  <c r="L144" i="6"/>
  <c r="H146" i="6"/>
  <c r="K148" i="6"/>
  <c r="E148" i="6"/>
  <c r="M148" i="6"/>
  <c r="L148" i="6"/>
  <c r="H150" i="6"/>
  <c r="K152" i="6"/>
  <c r="E152" i="6"/>
  <c r="H152" i="6" s="1"/>
  <c r="M152" i="6"/>
  <c r="L152" i="6"/>
  <c r="H154" i="6"/>
  <c r="K156" i="6"/>
  <c r="E156" i="6"/>
  <c r="M156" i="6"/>
  <c r="L156" i="6"/>
  <c r="K160" i="6"/>
  <c r="E160" i="6"/>
  <c r="M160" i="6"/>
  <c r="L160" i="6"/>
  <c r="K84" i="6"/>
  <c r="E84" i="6"/>
  <c r="H84" i="6" s="1"/>
  <c r="M90" i="6"/>
  <c r="H90" i="6" s="1"/>
  <c r="L90" i="6"/>
  <c r="K93" i="6"/>
  <c r="S93" i="6"/>
  <c r="U93" i="6" s="1"/>
  <c r="W93" i="6" s="1"/>
  <c r="H94" i="6"/>
  <c r="L95" i="6"/>
  <c r="K95" i="6"/>
  <c r="E95" i="6"/>
  <c r="H95" i="6" s="1"/>
  <c r="E97" i="6"/>
  <c r="H97" i="6" s="1"/>
  <c r="M98" i="6"/>
  <c r="L98" i="6"/>
  <c r="K88" i="6"/>
  <c r="E88" i="6"/>
  <c r="H88" i="6" s="1"/>
  <c r="K92" i="6"/>
  <c r="E92" i="6"/>
  <c r="H92" i="6" s="1"/>
  <c r="S96" i="6"/>
  <c r="U96" i="6" s="1"/>
  <c r="W96" i="6" s="1"/>
  <c r="N96" i="6"/>
  <c r="O96" i="6" s="1"/>
  <c r="P96" i="6" s="1"/>
  <c r="Q96" i="6" s="1"/>
  <c r="M101" i="6"/>
  <c r="K101" i="6"/>
  <c r="E101" i="6"/>
  <c r="H101" i="6" s="1"/>
  <c r="M105" i="6"/>
  <c r="K105" i="6"/>
  <c r="E105" i="6"/>
  <c r="M109" i="6"/>
  <c r="K109" i="6"/>
  <c r="E109" i="6"/>
  <c r="M113" i="6"/>
  <c r="L113" i="6"/>
  <c r="K113" i="6"/>
  <c r="E113" i="6"/>
  <c r="H113" i="6" s="1"/>
  <c r="S115" i="6"/>
  <c r="U115" i="6" s="1"/>
  <c r="W115" i="6" s="1"/>
  <c r="N115" i="6"/>
  <c r="O115" i="6" s="1"/>
  <c r="P115" i="6" s="1"/>
  <c r="Q115" i="6" s="1"/>
  <c r="M117" i="6"/>
  <c r="L117" i="6"/>
  <c r="K117" i="6"/>
  <c r="E117" i="6"/>
  <c r="H117" i="6" s="1"/>
  <c r="S119" i="6"/>
  <c r="U119" i="6" s="1"/>
  <c r="W119" i="6" s="1"/>
  <c r="N119" i="6"/>
  <c r="O119" i="6" s="1"/>
  <c r="P119" i="6" s="1"/>
  <c r="Q119" i="6" s="1"/>
  <c r="M121" i="6"/>
  <c r="L121" i="6"/>
  <c r="K121" i="6"/>
  <c r="E121" i="6"/>
  <c r="H121" i="6" s="1"/>
  <c r="S123" i="6"/>
  <c r="U123" i="6" s="1"/>
  <c r="W123" i="6" s="1"/>
  <c r="N123" i="6"/>
  <c r="O123" i="6" s="1"/>
  <c r="P123" i="6" s="1"/>
  <c r="Q123" i="6" s="1"/>
  <c r="M125" i="6"/>
  <c r="L125" i="6"/>
  <c r="K125" i="6"/>
  <c r="E125" i="6"/>
  <c r="H125" i="6" s="1"/>
  <c r="S127" i="6"/>
  <c r="U127" i="6" s="1"/>
  <c r="W127" i="6" s="1"/>
  <c r="N127" i="6"/>
  <c r="O127" i="6" s="1"/>
  <c r="P127" i="6" s="1"/>
  <c r="Q127" i="6" s="1"/>
  <c r="M129" i="6"/>
  <c r="L129" i="6"/>
  <c r="K129" i="6"/>
  <c r="E129" i="6"/>
  <c r="H129" i="6" s="1"/>
  <c r="S131" i="6"/>
  <c r="U131" i="6" s="1"/>
  <c r="W131" i="6" s="1"/>
  <c r="N131" i="6"/>
  <c r="O131" i="6" s="1"/>
  <c r="P131" i="6" s="1"/>
  <c r="Q131" i="6" s="1"/>
  <c r="M133" i="6"/>
  <c r="L133" i="6"/>
  <c r="K133" i="6"/>
  <c r="E133" i="6"/>
  <c r="H133" i="6" s="1"/>
  <c r="S135" i="6"/>
  <c r="U135" i="6" s="1"/>
  <c r="W135" i="6" s="1"/>
  <c r="N135" i="6"/>
  <c r="O135" i="6" s="1"/>
  <c r="P135" i="6" s="1"/>
  <c r="Q135" i="6" s="1"/>
  <c r="M137" i="6"/>
  <c r="L137" i="6"/>
  <c r="K137" i="6"/>
  <c r="E137" i="6"/>
  <c r="H137" i="6" s="1"/>
  <c r="S139" i="6"/>
  <c r="U139" i="6" s="1"/>
  <c r="W139" i="6" s="1"/>
  <c r="N139" i="6"/>
  <c r="O139" i="6" s="1"/>
  <c r="P139" i="6" s="1"/>
  <c r="Q139" i="6" s="1"/>
  <c r="M141" i="6"/>
  <c r="L141" i="6"/>
  <c r="K141" i="6"/>
  <c r="E141" i="6"/>
  <c r="H141" i="6" s="1"/>
  <c r="S143" i="6"/>
  <c r="U143" i="6" s="1"/>
  <c r="W143" i="6" s="1"/>
  <c r="N143" i="6"/>
  <c r="O143" i="6" s="1"/>
  <c r="P143" i="6" s="1"/>
  <c r="Q143" i="6" s="1"/>
  <c r="M145" i="6"/>
  <c r="L145" i="6"/>
  <c r="K145" i="6"/>
  <c r="E145" i="6"/>
  <c r="H145" i="6" s="1"/>
  <c r="S147" i="6"/>
  <c r="U147" i="6" s="1"/>
  <c r="W147" i="6" s="1"/>
  <c r="N147" i="6"/>
  <c r="O147" i="6" s="1"/>
  <c r="P147" i="6" s="1"/>
  <c r="Q147" i="6" s="1"/>
  <c r="M149" i="6"/>
  <c r="L149" i="6"/>
  <c r="K149" i="6"/>
  <c r="E149" i="6"/>
  <c r="H149" i="6" s="1"/>
  <c r="S151" i="6"/>
  <c r="U151" i="6" s="1"/>
  <c r="W151" i="6" s="1"/>
  <c r="N151" i="6"/>
  <c r="O151" i="6" s="1"/>
  <c r="P151" i="6" s="1"/>
  <c r="Q151" i="6" s="1"/>
  <c r="M153" i="6"/>
  <c r="L153" i="6"/>
  <c r="K153" i="6"/>
  <c r="E153" i="6"/>
  <c r="H153" i="6" s="1"/>
  <c r="S155" i="6"/>
  <c r="U155" i="6" s="1"/>
  <c r="W155" i="6" s="1"/>
  <c r="N155" i="6"/>
  <c r="O155" i="6" s="1"/>
  <c r="P155" i="6" s="1"/>
  <c r="Q155" i="6" s="1"/>
  <c r="M157" i="6"/>
  <c r="L157" i="6"/>
  <c r="K157" i="6"/>
  <c r="E157" i="6"/>
  <c r="H157" i="6" s="1"/>
  <c r="S159" i="6"/>
  <c r="U159" i="6" s="1"/>
  <c r="W159" i="6" s="1"/>
  <c r="N159" i="6"/>
  <c r="O159" i="6" s="1"/>
  <c r="P159" i="6" s="1"/>
  <c r="Q159" i="6" s="1"/>
  <c r="M161" i="6"/>
  <c r="L161" i="6"/>
  <c r="K161" i="6"/>
  <c r="E161" i="6"/>
  <c r="H161" i="6" s="1"/>
  <c r="S163" i="6"/>
  <c r="U163" i="6" s="1"/>
  <c r="W163" i="6" s="1"/>
  <c r="N163" i="6"/>
  <c r="O163" i="6" s="1"/>
  <c r="P163" i="6" s="1"/>
  <c r="Q163" i="6" s="1"/>
  <c r="R164" i="6"/>
  <c r="Y164" i="6"/>
  <c r="M115" i="6"/>
  <c r="M119" i="6"/>
  <c r="M123" i="6"/>
  <c r="M127" i="6"/>
  <c r="M131" i="6"/>
  <c r="M135" i="6"/>
  <c r="M139" i="6"/>
  <c r="M143" i="6"/>
  <c r="M147" i="6"/>
  <c r="M151" i="6"/>
  <c r="M155" i="6"/>
  <c r="M159" i="6"/>
  <c r="M163" i="6"/>
  <c r="S166" i="6"/>
  <c r="U166" i="6" s="1"/>
  <c r="W166" i="6" s="1"/>
  <c r="N166" i="6"/>
  <c r="O166" i="6" s="1"/>
  <c r="P166" i="6" s="1"/>
  <c r="Q166" i="6" s="1"/>
  <c r="K171" i="6"/>
  <c r="E171" i="6"/>
  <c r="M171" i="6"/>
  <c r="K175" i="6"/>
  <c r="E175" i="6"/>
  <c r="H175" i="6" s="1"/>
  <c r="M175" i="6"/>
  <c r="K179" i="6"/>
  <c r="E179" i="6"/>
  <c r="M179" i="6"/>
  <c r="K183" i="6"/>
  <c r="E183" i="6"/>
  <c r="H183" i="6" s="1"/>
  <c r="M183" i="6"/>
  <c r="K187" i="6"/>
  <c r="E187" i="6"/>
  <c r="M187" i="6"/>
  <c r="K191" i="6"/>
  <c r="E191" i="6"/>
  <c r="H191" i="6" s="1"/>
  <c r="M191" i="6"/>
  <c r="K195" i="6"/>
  <c r="E195" i="6"/>
  <c r="M195" i="6"/>
  <c r="K199" i="6"/>
  <c r="E199" i="6"/>
  <c r="H199" i="6" s="1"/>
  <c r="M199" i="6"/>
  <c r="K203" i="6"/>
  <c r="E203" i="6"/>
  <c r="M203" i="6"/>
  <c r="L14" i="7"/>
  <c r="K14" i="7"/>
  <c r="E14" i="7"/>
  <c r="M14" i="7"/>
  <c r="S171" i="6"/>
  <c r="U171" i="6" s="1"/>
  <c r="W171" i="6" s="1"/>
  <c r="N171" i="6"/>
  <c r="O171" i="6" s="1"/>
  <c r="P171" i="6" s="1"/>
  <c r="Q171" i="6" s="1"/>
  <c r="S175" i="6"/>
  <c r="U175" i="6" s="1"/>
  <c r="W175" i="6" s="1"/>
  <c r="N175" i="6"/>
  <c r="O175" i="6" s="1"/>
  <c r="P175" i="6" s="1"/>
  <c r="Q175" i="6" s="1"/>
  <c r="S179" i="6"/>
  <c r="U179" i="6" s="1"/>
  <c r="W179" i="6" s="1"/>
  <c r="N179" i="6"/>
  <c r="O179" i="6" s="1"/>
  <c r="P179" i="6" s="1"/>
  <c r="Q179" i="6" s="1"/>
  <c r="S183" i="6"/>
  <c r="U183" i="6" s="1"/>
  <c r="W183" i="6" s="1"/>
  <c r="N183" i="6"/>
  <c r="O183" i="6" s="1"/>
  <c r="P183" i="6" s="1"/>
  <c r="Q183" i="6" s="1"/>
  <c r="S187" i="6"/>
  <c r="U187" i="6" s="1"/>
  <c r="W187" i="6" s="1"/>
  <c r="N187" i="6"/>
  <c r="O187" i="6" s="1"/>
  <c r="P187" i="6" s="1"/>
  <c r="Q187" i="6" s="1"/>
  <c r="S191" i="6"/>
  <c r="U191" i="6" s="1"/>
  <c r="W191" i="6" s="1"/>
  <c r="N191" i="6"/>
  <c r="O191" i="6" s="1"/>
  <c r="P191" i="6" s="1"/>
  <c r="Q191" i="6" s="1"/>
  <c r="S195" i="6"/>
  <c r="U195" i="6" s="1"/>
  <c r="W195" i="6" s="1"/>
  <c r="N195" i="6"/>
  <c r="O195" i="6" s="1"/>
  <c r="P195" i="6" s="1"/>
  <c r="Q195" i="6" s="1"/>
  <c r="S199" i="6"/>
  <c r="U199" i="6" s="1"/>
  <c r="W199" i="6" s="1"/>
  <c r="N199" i="6"/>
  <c r="O199" i="6" s="1"/>
  <c r="P199" i="6" s="1"/>
  <c r="Q199" i="6" s="1"/>
  <c r="S203" i="6"/>
  <c r="U203" i="6" s="1"/>
  <c r="W203" i="6" s="1"/>
  <c r="N203" i="6"/>
  <c r="O203" i="6" s="1"/>
  <c r="P203" i="6" s="1"/>
  <c r="Q203" i="6" s="1"/>
  <c r="L10" i="7"/>
  <c r="K10" i="7"/>
  <c r="E10" i="7"/>
  <c r="M10" i="7"/>
  <c r="L102" i="6"/>
  <c r="L106" i="6"/>
  <c r="L110" i="6"/>
  <c r="L114" i="6"/>
  <c r="E115" i="6"/>
  <c r="H115" i="6" s="1"/>
  <c r="K115" i="6"/>
  <c r="L118" i="6"/>
  <c r="E119" i="6"/>
  <c r="K119" i="6"/>
  <c r="L122" i="6"/>
  <c r="E123" i="6"/>
  <c r="H123" i="6" s="1"/>
  <c r="K123" i="6"/>
  <c r="L126" i="6"/>
  <c r="E127" i="6"/>
  <c r="H127" i="6" s="1"/>
  <c r="K127" i="6"/>
  <c r="L130" i="6"/>
  <c r="E131" i="6"/>
  <c r="H131" i="6" s="1"/>
  <c r="K131" i="6"/>
  <c r="L134" i="6"/>
  <c r="E135" i="6"/>
  <c r="K135" i="6"/>
  <c r="L138" i="6"/>
  <c r="E139" i="6"/>
  <c r="H139" i="6" s="1"/>
  <c r="K139" i="6"/>
  <c r="L142" i="6"/>
  <c r="E143" i="6"/>
  <c r="H143" i="6" s="1"/>
  <c r="K143" i="6"/>
  <c r="L146" i="6"/>
  <c r="E147" i="6"/>
  <c r="H147" i="6" s="1"/>
  <c r="K147" i="6"/>
  <c r="L150" i="6"/>
  <c r="E151" i="6"/>
  <c r="K151" i="6"/>
  <c r="L154" i="6"/>
  <c r="E155" i="6"/>
  <c r="H155" i="6" s="1"/>
  <c r="K155" i="6"/>
  <c r="L158" i="6"/>
  <c r="E159" i="6"/>
  <c r="H159" i="6" s="1"/>
  <c r="K159" i="6"/>
  <c r="L162" i="6"/>
  <c r="E163" i="6"/>
  <c r="H163" i="6" s="1"/>
  <c r="K163" i="6"/>
  <c r="M164" i="6"/>
  <c r="H164" i="6" s="1"/>
  <c r="S164" i="6"/>
  <c r="U164" i="6" s="1"/>
  <c r="W164" i="6" s="1"/>
  <c r="K166" i="6"/>
  <c r="E166" i="6"/>
  <c r="H166" i="6" s="1"/>
  <c r="L167" i="6"/>
  <c r="M169" i="6"/>
  <c r="L169" i="6"/>
  <c r="K169" i="6"/>
  <c r="E169" i="6"/>
  <c r="L170" i="6"/>
  <c r="K170" i="6"/>
  <c r="E170" i="6"/>
  <c r="H170" i="6" s="1"/>
  <c r="M173" i="6"/>
  <c r="L173" i="6"/>
  <c r="K173" i="6"/>
  <c r="E173" i="6"/>
  <c r="H173" i="6" s="1"/>
  <c r="L174" i="6"/>
  <c r="K174" i="6"/>
  <c r="E174" i="6"/>
  <c r="H174" i="6" s="1"/>
  <c r="M177" i="6"/>
  <c r="L177" i="6"/>
  <c r="K177" i="6"/>
  <c r="E177" i="6"/>
  <c r="L178" i="6"/>
  <c r="K178" i="6"/>
  <c r="E178" i="6"/>
  <c r="H178" i="6" s="1"/>
  <c r="M181" i="6"/>
  <c r="L181" i="6"/>
  <c r="K181" i="6"/>
  <c r="E181" i="6"/>
  <c r="H181" i="6" s="1"/>
  <c r="L182" i="6"/>
  <c r="K182" i="6"/>
  <c r="E182" i="6"/>
  <c r="H182" i="6" s="1"/>
  <c r="M185" i="6"/>
  <c r="L185" i="6"/>
  <c r="K185" i="6"/>
  <c r="E185" i="6"/>
  <c r="L186" i="6"/>
  <c r="K186" i="6"/>
  <c r="E186" i="6"/>
  <c r="H186" i="6" s="1"/>
  <c r="M189" i="6"/>
  <c r="L189" i="6"/>
  <c r="K189" i="6"/>
  <c r="E189" i="6"/>
  <c r="H189" i="6" s="1"/>
  <c r="L190" i="6"/>
  <c r="K190" i="6"/>
  <c r="E190" i="6"/>
  <c r="H190" i="6" s="1"/>
  <c r="M193" i="6"/>
  <c r="L193" i="6"/>
  <c r="K193" i="6"/>
  <c r="E193" i="6"/>
  <c r="L194" i="6"/>
  <c r="K194" i="6"/>
  <c r="E194" i="6"/>
  <c r="H194" i="6" s="1"/>
  <c r="M197" i="6"/>
  <c r="L197" i="6"/>
  <c r="K197" i="6"/>
  <c r="E197" i="6"/>
  <c r="H197" i="6" s="1"/>
  <c r="L198" i="6"/>
  <c r="K198" i="6"/>
  <c r="E198" i="6"/>
  <c r="H198" i="6" s="1"/>
  <c r="M201" i="6"/>
  <c r="L201" i="6"/>
  <c r="K201" i="6"/>
  <c r="E201" i="6"/>
  <c r="L202" i="6"/>
  <c r="K202" i="6"/>
  <c r="E202" i="6"/>
  <c r="H202" i="6" s="1"/>
  <c r="L205" i="6"/>
  <c r="M205" i="6"/>
  <c r="K205" i="6"/>
  <c r="E205" i="6"/>
  <c r="H205" i="6" s="1"/>
  <c r="L207" i="6"/>
  <c r="M207" i="6"/>
  <c r="E207" i="6"/>
  <c r="K207" i="6"/>
  <c r="L22" i="7"/>
  <c r="K22" i="7"/>
  <c r="E22" i="7"/>
  <c r="M22" i="7"/>
  <c r="L165" i="6"/>
  <c r="K165" i="6"/>
  <c r="E165" i="6"/>
  <c r="H165" i="6" s="1"/>
  <c r="E167" i="6"/>
  <c r="H167" i="6" s="1"/>
  <c r="M206" i="6"/>
  <c r="K206" i="6"/>
  <c r="E206" i="6"/>
  <c r="L206" i="6"/>
  <c r="L18" i="7"/>
  <c r="K18" i="7"/>
  <c r="E18" i="7"/>
  <c r="M18" i="7"/>
  <c r="L168" i="6"/>
  <c r="L172" i="6"/>
  <c r="L176" i="6"/>
  <c r="L180" i="6"/>
  <c r="L184" i="6"/>
  <c r="L188" i="6"/>
  <c r="L192" i="6"/>
  <c r="L196" i="6"/>
  <c r="L200" i="6"/>
  <c r="L204" i="6"/>
  <c r="L11" i="7"/>
  <c r="K11" i="7"/>
  <c r="E11" i="7"/>
  <c r="M11" i="7"/>
  <c r="L15" i="7"/>
  <c r="K15" i="7"/>
  <c r="E15" i="7"/>
  <c r="M15" i="7"/>
  <c r="L19" i="7"/>
  <c r="K19" i="7"/>
  <c r="E19" i="7"/>
  <c r="M19" i="7"/>
  <c r="L23" i="7"/>
  <c r="K23" i="7"/>
  <c r="E23" i="7"/>
  <c r="M23" i="7"/>
  <c r="S25" i="7"/>
  <c r="U25" i="7" s="1"/>
  <c r="W25" i="7" s="1"/>
  <c r="N25" i="7"/>
  <c r="O25" i="7" s="1"/>
  <c r="P25" i="7" s="1"/>
  <c r="Q25" i="7" s="1"/>
  <c r="S27" i="7"/>
  <c r="U27" i="7" s="1"/>
  <c r="W27" i="7" s="1"/>
  <c r="N27" i="7"/>
  <c r="O27" i="7" s="1"/>
  <c r="P27" i="7" s="1"/>
  <c r="Q27" i="7" s="1"/>
  <c r="S29" i="7"/>
  <c r="U29" i="7" s="1"/>
  <c r="W29" i="7" s="1"/>
  <c r="N29" i="7"/>
  <c r="O29" i="7" s="1"/>
  <c r="P29" i="7" s="1"/>
  <c r="Q29" i="7" s="1"/>
  <c r="S31" i="7"/>
  <c r="U31" i="7" s="1"/>
  <c r="W31" i="7" s="1"/>
  <c r="N31" i="7"/>
  <c r="O31" i="7" s="1"/>
  <c r="P31" i="7" s="1"/>
  <c r="Q31" i="7" s="1"/>
  <c r="S33" i="7"/>
  <c r="U33" i="7" s="1"/>
  <c r="W33" i="7" s="1"/>
  <c r="N33" i="7"/>
  <c r="O33" i="7" s="1"/>
  <c r="P33" i="7" s="1"/>
  <c r="Q33" i="7" s="1"/>
  <c r="S35" i="7"/>
  <c r="U35" i="7" s="1"/>
  <c r="W35" i="7" s="1"/>
  <c r="N35" i="7"/>
  <c r="O35" i="7" s="1"/>
  <c r="P35" i="7" s="1"/>
  <c r="Q35" i="7" s="1"/>
  <c r="S37" i="7"/>
  <c r="U37" i="7" s="1"/>
  <c r="W37" i="7" s="1"/>
  <c r="N37" i="7"/>
  <c r="O37" i="7" s="1"/>
  <c r="P37" i="7" s="1"/>
  <c r="Q37" i="7" s="1"/>
  <c r="S39" i="7"/>
  <c r="U39" i="7" s="1"/>
  <c r="W39" i="7" s="1"/>
  <c r="N39" i="7"/>
  <c r="O39" i="7" s="1"/>
  <c r="P39" i="7" s="1"/>
  <c r="Q39" i="7" s="1"/>
  <c r="S41" i="7"/>
  <c r="U41" i="7" s="1"/>
  <c r="W41" i="7" s="1"/>
  <c r="N41" i="7"/>
  <c r="O41" i="7" s="1"/>
  <c r="P41" i="7" s="1"/>
  <c r="Q41" i="7" s="1"/>
  <c r="S43" i="7"/>
  <c r="U43" i="7" s="1"/>
  <c r="W43" i="7" s="1"/>
  <c r="N43" i="7"/>
  <c r="O43" i="7" s="1"/>
  <c r="P43" i="7" s="1"/>
  <c r="Q43" i="7" s="1"/>
  <c r="S45" i="7"/>
  <c r="U45" i="7" s="1"/>
  <c r="W45" i="7" s="1"/>
  <c r="N45" i="7"/>
  <c r="O45" i="7" s="1"/>
  <c r="P45" i="7" s="1"/>
  <c r="Q45" i="7" s="1"/>
  <c r="S47" i="7"/>
  <c r="U47" i="7" s="1"/>
  <c r="W47" i="7" s="1"/>
  <c r="N47" i="7"/>
  <c r="O47" i="7" s="1"/>
  <c r="P47" i="7" s="1"/>
  <c r="Q47" i="7" s="1"/>
  <c r="S49" i="7"/>
  <c r="U49" i="7" s="1"/>
  <c r="W49" i="7" s="1"/>
  <c r="N49" i="7"/>
  <c r="O49" i="7" s="1"/>
  <c r="P49" i="7" s="1"/>
  <c r="Q49" i="7" s="1"/>
  <c r="S51" i="7"/>
  <c r="U51" i="7" s="1"/>
  <c r="W51" i="7" s="1"/>
  <c r="N51" i="7"/>
  <c r="O51" i="7" s="1"/>
  <c r="P51" i="7" s="1"/>
  <c r="Q51" i="7" s="1"/>
  <c r="S53" i="7"/>
  <c r="U53" i="7" s="1"/>
  <c r="W53" i="7" s="1"/>
  <c r="N53" i="7"/>
  <c r="O53" i="7" s="1"/>
  <c r="P53" i="7" s="1"/>
  <c r="Q53" i="7" s="1"/>
  <c r="S55" i="7"/>
  <c r="U55" i="7" s="1"/>
  <c r="W55" i="7" s="1"/>
  <c r="N55" i="7"/>
  <c r="O55" i="7" s="1"/>
  <c r="P55" i="7" s="1"/>
  <c r="Q55" i="7" s="1"/>
  <c r="S57" i="7"/>
  <c r="U57" i="7" s="1"/>
  <c r="W57" i="7" s="1"/>
  <c r="N57" i="7"/>
  <c r="O57" i="7" s="1"/>
  <c r="P57" i="7" s="1"/>
  <c r="Q57" i="7" s="1"/>
  <c r="L12" i="7"/>
  <c r="K12" i="7"/>
  <c r="E12" i="7"/>
  <c r="M12" i="7"/>
  <c r="L16" i="7"/>
  <c r="K16" i="7"/>
  <c r="E16" i="7"/>
  <c r="M16" i="7"/>
  <c r="L20" i="7"/>
  <c r="K20" i="7"/>
  <c r="E20" i="7"/>
  <c r="M20" i="7"/>
  <c r="L9" i="7"/>
  <c r="K9" i="7"/>
  <c r="E9" i="7"/>
  <c r="M9" i="7"/>
  <c r="L13" i="7"/>
  <c r="K13" i="7"/>
  <c r="E13" i="7"/>
  <c r="M13" i="7"/>
  <c r="L17" i="7"/>
  <c r="K17" i="7"/>
  <c r="E17" i="7"/>
  <c r="M17" i="7"/>
  <c r="L21" i="7"/>
  <c r="K21" i="7"/>
  <c r="E21" i="7"/>
  <c r="M21" i="7"/>
  <c r="S24" i="7"/>
  <c r="U24" i="7" s="1"/>
  <c r="W24" i="7" s="1"/>
  <c r="N24" i="7"/>
  <c r="O24" i="7" s="1"/>
  <c r="P24" i="7" s="1"/>
  <c r="Q24" i="7" s="1"/>
  <c r="S26" i="7"/>
  <c r="U26" i="7" s="1"/>
  <c r="W26" i="7" s="1"/>
  <c r="N26" i="7"/>
  <c r="O26" i="7" s="1"/>
  <c r="P26" i="7" s="1"/>
  <c r="Q26" i="7" s="1"/>
  <c r="S28" i="7"/>
  <c r="U28" i="7" s="1"/>
  <c r="W28" i="7" s="1"/>
  <c r="N28" i="7"/>
  <c r="O28" i="7" s="1"/>
  <c r="P28" i="7" s="1"/>
  <c r="Q28" i="7" s="1"/>
  <c r="S30" i="7"/>
  <c r="U30" i="7" s="1"/>
  <c r="W30" i="7" s="1"/>
  <c r="N30" i="7"/>
  <c r="O30" i="7" s="1"/>
  <c r="P30" i="7" s="1"/>
  <c r="Q30" i="7" s="1"/>
  <c r="S32" i="7"/>
  <c r="U32" i="7" s="1"/>
  <c r="W32" i="7" s="1"/>
  <c r="N32" i="7"/>
  <c r="O32" i="7" s="1"/>
  <c r="P32" i="7" s="1"/>
  <c r="Q32" i="7" s="1"/>
  <c r="S34" i="7"/>
  <c r="U34" i="7" s="1"/>
  <c r="W34" i="7" s="1"/>
  <c r="N34" i="7"/>
  <c r="O34" i="7" s="1"/>
  <c r="P34" i="7" s="1"/>
  <c r="Q34" i="7" s="1"/>
  <c r="S36" i="7"/>
  <c r="U36" i="7" s="1"/>
  <c r="W36" i="7" s="1"/>
  <c r="N36" i="7"/>
  <c r="O36" i="7" s="1"/>
  <c r="P36" i="7" s="1"/>
  <c r="Q36" i="7" s="1"/>
  <c r="S38" i="7"/>
  <c r="U38" i="7" s="1"/>
  <c r="W38" i="7" s="1"/>
  <c r="N38" i="7"/>
  <c r="O38" i="7" s="1"/>
  <c r="P38" i="7" s="1"/>
  <c r="Q38" i="7" s="1"/>
  <c r="S40" i="7"/>
  <c r="U40" i="7" s="1"/>
  <c r="W40" i="7" s="1"/>
  <c r="N40" i="7"/>
  <c r="O40" i="7" s="1"/>
  <c r="P40" i="7" s="1"/>
  <c r="Q40" i="7" s="1"/>
  <c r="S42" i="7"/>
  <c r="U42" i="7" s="1"/>
  <c r="W42" i="7" s="1"/>
  <c r="N42" i="7"/>
  <c r="O42" i="7" s="1"/>
  <c r="P42" i="7" s="1"/>
  <c r="Q42" i="7" s="1"/>
  <c r="S44" i="7"/>
  <c r="U44" i="7" s="1"/>
  <c r="W44" i="7" s="1"/>
  <c r="N44" i="7"/>
  <c r="O44" i="7" s="1"/>
  <c r="P44" i="7" s="1"/>
  <c r="Q44" i="7" s="1"/>
  <c r="S46" i="7"/>
  <c r="U46" i="7" s="1"/>
  <c r="W46" i="7" s="1"/>
  <c r="N46" i="7"/>
  <c r="O46" i="7" s="1"/>
  <c r="P46" i="7" s="1"/>
  <c r="Q46" i="7" s="1"/>
  <c r="S48" i="7"/>
  <c r="U48" i="7" s="1"/>
  <c r="W48" i="7" s="1"/>
  <c r="N48" i="7"/>
  <c r="O48" i="7" s="1"/>
  <c r="P48" i="7" s="1"/>
  <c r="Q48" i="7" s="1"/>
  <c r="S50" i="7"/>
  <c r="U50" i="7" s="1"/>
  <c r="W50" i="7" s="1"/>
  <c r="N50" i="7"/>
  <c r="O50" i="7" s="1"/>
  <c r="P50" i="7" s="1"/>
  <c r="Q50" i="7" s="1"/>
  <c r="S52" i="7"/>
  <c r="U52" i="7" s="1"/>
  <c r="W52" i="7" s="1"/>
  <c r="N52" i="7"/>
  <c r="O52" i="7" s="1"/>
  <c r="P52" i="7" s="1"/>
  <c r="Q52" i="7" s="1"/>
  <c r="S54" i="7"/>
  <c r="U54" i="7" s="1"/>
  <c r="W54" i="7" s="1"/>
  <c r="N54" i="7"/>
  <c r="O54" i="7" s="1"/>
  <c r="P54" i="7" s="1"/>
  <c r="Q54" i="7" s="1"/>
  <c r="S56" i="7"/>
  <c r="U56" i="7" s="1"/>
  <c r="W56" i="7" s="1"/>
  <c r="N56" i="7"/>
  <c r="O56" i="7" s="1"/>
  <c r="P56" i="7" s="1"/>
  <c r="Q56" i="7" s="1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60" i="7"/>
  <c r="K60" i="7"/>
  <c r="E60" i="7"/>
  <c r="M77" i="7"/>
  <c r="L77" i="7"/>
  <c r="K77" i="7"/>
  <c r="E77" i="7"/>
  <c r="M81" i="7"/>
  <c r="L81" i="7"/>
  <c r="K81" i="7"/>
  <c r="E81" i="7"/>
  <c r="M85" i="7"/>
  <c r="L85" i="7"/>
  <c r="K85" i="7"/>
  <c r="E85" i="7"/>
  <c r="M89" i="7"/>
  <c r="L89" i="7"/>
  <c r="K89" i="7"/>
  <c r="E89" i="7"/>
  <c r="M93" i="7"/>
  <c r="L93" i="7"/>
  <c r="K93" i="7"/>
  <c r="E93" i="7"/>
  <c r="M97" i="7"/>
  <c r="K97" i="7"/>
  <c r="L97" i="7"/>
  <c r="E97" i="7"/>
  <c r="K101" i="7"/>
  <c r="E101" i="7"/>
  <c r="M101" i="7"/>
  <c r="L101" i="7"/>
  <c r="K59" i="7"/>
  <c r="E59" i="7"/>
  <c r="M61" i="7"/>
  <c r="K61" i="7"/>
  <c r="E61" i="7"/>
  <c r="H61" i="7" s="1"/>
  <c r="M62" i="7"/>
  <c r="K62" i="7"/>
  <c r="E62" i="7"/>
  <c r="M63" i="7"/>
  <c r="K63" i="7"/>
  <c r="E63" i="7"/>
  <c r="M64" i="7"/>
  <c r="K64" i="7"/>
  <c r="E64" i="7"/>
  <c r="H64" i="7" s="1"/>
  <c r="M65" i="7"/>
  <c r="K65" i="7"/>
  <c r="E65" i="7"/>
  <c r="H65" i="7" s="1"/>
  <c r="M66" i="7"/>
  <c r="K66" i="7"/>
  <c r="E66" i="7"/>
  <c r="M67" i="7"/>
  <c r="K67" i="7"/>
  <c r="E67" i="7"/>
  <c r="M68" i="7"/>
  <c r="K68" i="7"/>
  <c r="E68" i="7"/>
  <c r="H68" i="7" s="1"/>
  <c r="M69" i="7"/>
  <c r="K69" i="7"/>
  <c r="E69" i="7"/>
  <c r="H69" i="7" s="1"/>
  <c r="M70" i="7"/>
  <c r="K70" i="7"/>
  <c r="E70" i="7"/>
  <c r="M71" i="7"/>
  <c r="K71" i="7"/>
  <c r="E71" i="7"/>
  <c r="M72" i="7"/>
  <c r="K72" i="7"/>
  <c r="E72" i="7"/>
  <c r="H72" i="7" s="1"/>
  <c r="M73" i="7"/>
  <c r="K73" i="7"/>
  <c r="E73" i="7"/>
  <c r="H73" i="7" s="1"/>
  <c r="M74" i="7"/>
  <c r="K74" i="7"/>
  <c r="E74" i="7"/>
  <c r="M75" i="7"/>
  <c r="K75" i="7"/>
  <c r="E75" i="7"/>
  <c r="M76" i="7"/>
  <c r="K76" i="7"/>
  <c r="E76" i="7"/>
  <c r="H76" i="7" s="1"/>
  <c r="M78" i="7"/>
  <c r="L78" i="7"/>
  <c r="K78" i="7"/>
  <c r="E78" i="7"/>
  <c r="M82" i="7"/>
  <c r="L82" i="7"/>
  <c r="K82" i="7"/>
  <c r="E82" i="7"/>
  <c r="M86" i="7"/>
  <c r="L86" i="7"/>
  <c r="K86" i="7"/>
  <c r="E86" i="7"/>
  <c r="M90" i="7"/>
  <c r="L90" i="7"/>
  <c r="K90" i="7"/>
  <c r="E90" i="7"/>
  <c r="M94" i="7"/>
  <c r="L94" i="7"/>
  <c r="K94" i="7"/>
  <c r="E94" i="7"/>
  <c r="M98" i="7"/>
  <c r="K98" i="7"/>
  <c r="L98" i="7"/>
  <c r="E98" i="7"/>
  <c r="K102" i="7"/>
  <c r="E102" i="7"/>
  <c r="M102" i="7"/>
  <c r="L102" i="7"/>
  <c r="E24" i="7"/>
  <c r="H24" i="7" s="1"/>
  <c r="K24" i="7"/>
  <c r="E25" i="7"/>
  <c r="H25" i="7" s="1"/>
  <c r="K25" i="7"/>
  <c r="E26" i="7"/>
  <c r="H26" i="7" s="1"/>
  <c r="K26" i="7"/>
  <c r="E27" i="7"/>
  <c r="H27" i="7" s="1"/>
  <c r="K27" i="7"/>
  <c r="E28" i="7"/>
  <c r="H28" i="7" s="1"/>
  <c r="K28" i="7"/>
  <c r="E29" i="7"/>
  <c r="H29" i="7" s="1"/>
  <c r="K29" i="7"/>
  <c r="E30" i="7"/>
  <c r="H30" i="7" s="1"/>
  <c r="K30" i="7"/>
  <c r="E31" i="7"/>
  <c r="H31" i="7" s="1"/>
  <c r="K31" i="7"/>
  <c r="E32" i="7"/>
  <c r="H32" i="7" s="1"/>
  <c r="K32" i="7"/>
  <c r="E33" i="7"/>
  <c r="H33" i="7" s="1"/>
  <c r="K33" i="7"/>
  <c r="E34" i="7"/>
  <c r="H34" i="7" s="1"/>
  <c r="K34" i="7"/>
  <c r="E35" i="7"/>
  <c r="H35" i="7" s="1"/>
  <c r="K35" i="7"/>
  <c r="E36" i="7"/>
  <c r="H36" i="7" s="1"/>
  <c r="K36" i="7"/>
  <c r="E37" i="7"/>
  <c r="H37" i="7" s="1"/>
  <c r="K37" i="7"/>
  <c r="E38" i="7"/>
  <c r="H38" i="7" s="1"/>
  <c r="K38" i="7"/>
  <c r="E39" i="7"/>
  <c r="H39" i="7" s="1"/>
  <c r="K39" i="7"/>
  <c r="E40" i="7"/>
  <c r="H40" i="7" s="1"/>
  <c r="K40" i="7"/>
  <c r="E41" i="7"/>
  <c r="H41" i="7" s="1"/>
  <c r="K41" i="7"/>
  <c r="E42" i="7"/>
  <c r="H42" i="7" s="1"/>
  <c r="K42" i="7"/>
  <c r="E43" i="7"/>
  <c r="H43" i="7" s="1"/>
  <c r="K43" i="7"/>
  <c r="E44" i="7"/>
  <c r="H44" i="7" s="1"/>
  <c r="K44" i="7"/>
  <c r="E45" i="7"/>
  <c r="H45" i="7" s="1"/>
  <c r="K45" i="7"/>
  <c r="E46" i="7"/>
  <c r="H46" i="7" s="1"/>
  <c r="K46" i="7"/>
  <c r="E47" i="7"/>
  <c r="H47" i="7" s="1"/>
  <c r="K47" i="7"/>
  <c r="E48" i="7"/>
  <c r="H48" i="7" s="1"/>
  <c r="K48" i="7"/>
  <c r="E49" i="7"/>
  <c r="H49" i="7" s="1"/>
  <c r="K49" i="7"/>
  <c r="E50" i="7"/>
  <c r="H50" i="7" s="1"/>
  <c r="K50" i="7"/>
  <c r="E51" i="7"/>
  <c r="H51" i="7" s="1"/>
  <c r="K51" i="7"/>
  <c r="E52" i="7"/>
  <c r="H52" i="7" s="1"/>
  <c r="K52" i="7"/>
  <c r="E53" i="7"/>
  <c r="H53" i="7" s="1"/>
  <c r="K53" i="7"/>
  <c r="E54" i="7"/>
  <c r="H54" i="7" s="1"/>
  <c r="K54" i="7"/>
  <c r="E55" i="7"/>
  <c r="H55" i="7" s="1"/>
  <c r="K55" i="7"/>
  <c r="E56" i="7"/>
  <c r="H56" i="7" s="1"/>
  <c r="K56" i="7"/>
  <c r="E57" i="7"/>
  <c r="H57" i="7" s="1"/>
  <c r="K57" i="7"/>
  <c r="E58" i="7"/>
  <c r="L58" i="7"/>
  <c r="L59" i="7"/>
  <c r="N60" i="7"/>
  <c r="O60" i="7" s="1"/>
  <c r="P60" i="7" s="1"/>
  <c r="Q60" i="7" s="1"/>
  <c r="L61" i="7"/>
  <c r="L62" i="7"/>
  <c r="L63" i="7"/>
  <c r="L64" i="7"/>
  <c r="L65" i="7"/>
  <c r="L66" i="7"/>
  <c r="L67" i="7"/>
  <c r="L68" i="7"/>
  <c r="L69" i="7"/>
  <c r="L70" i="7"/>
  <c r="L71" i="7"/>
  <c r="L72" i="7"/>
  <c r="L73" i="7"/>
  <c r="L74" i="7"/>
  <c r="L75" i="7"/>
  <c r="L76" i="7"/>
  <c r="M79" i="7"/>
  <c r="L79" i="7"/>
  <c r="K79" i="7"/>
  <c r="E79" i="7"/>
  <c r="M83" i="7"/>
  <c r="L83" i="7"/>
  <c r="K83" i="7"/>
  <c r="E83" i="7"/>
  <c r="M87" i="7"/>
  <c r="L87" i="7"/>
  <c r="K87" i="7"/>
  <c r="E87" i="7"/>
  <c r="M91" i="7"/>
  <c r="L91" i="7"/>
  <c r="K91" i="7"/>
  <c r="E91" i="7"/>
  <c r="M95" i="7"/>
  <c r="L95" i="7"/>
  <c r="K95" i="7"/>
  <c r="E95" i="7"/>
  <c r="M99" i="7"/>
  <c r="K99" i="7"/>
  <c r="L99" i="7"/>
  <c r="E99" i="7"/>
  <c r="K103" i="7"/>
  <c r="E103" i="7"/>
  <c r="M103" i="7"/>
  <c r="L103" i="7"/>
  <c r="M58" i="7"/>
  <c r="M59" i="7"/>
  <c r="M80" i="7"/>
  <c r="L80" i="7"/>
  <c r="K80" i="7"/>
  <c r="E80" i="7"/>
  <c r="M84" i="7"/>
  <c r="L84" i="7"/>
  <c r="K84" i="7"/>
  <c r="E84" i="7"/>
  <c r="M88" i="7"/>
  <c r="L88" i="7"/>
  <c r="K88" i="7"/>
  <c r="E88" i="7"/>
  <c r="M92" i="7"/>
  <c r="L92" i="7"/>
  <c r="K92" i="7"/>
  <c r="E92" i="7"/>
  <c r="M96" i="7"/>
  <c r="L96" i="7"/>
  <c r="K96" i="7"/>
  <c r="E96" i="7"/>
  <c r="K100" i="7"/>
  <c r="E100" i="7"/>
  <c r="M100" i="7"/>
  <c r="L100" i="7"/>
  <c r="K104" i="7"/>
  <c r="E104" i="7"/>
  <c r="M104" i="7"/>
  <c r="L104" i="7"/>
  <c r="L105" i="7"/>
  <c r="K105" i="7"/>
  <c r="E105" i="7"/>
  <c r="H105" i="7" s="1"/>
  <c r="M105" i="7"/>
  <c r="L109" i="7"/>
  <c r="K109" i="7"/>
  <c r="E109" i="7"/>
  <c r="H109" i="7" s="1"/>
  <c r="M109" i="7"/>
  <c r="L106" i="7"/>
  <c r="K106" i="7"/>
  <c r="E106" i="7"/>
  <c r="H106" i="7" s="1"/>
  <c r="M106" i="7"/>
  <c r="S111" i="7"/>
  <c r="U111" i="7" s="1"/>
  <c r="W111" i="7" s="1"/>
  <c r="N111" i="7"/>
  <c r="O111" i="7" s="1"/>
  <c r="P111" i="7" s="1"/>
  <c r="Q111" i="7" s="1"/>
  <c r="S113" i="7"/>
  <c r="U113" i="7" s="1"/>
  <c r="W113" i="7" s="1"/>
  <c r="N113" i="7"/>
  <c r="O113" i="7" s="1"/>
  <c r="P113" i="7" s="1"/>
  <c r="Q113" i="7" s="1"/>
  <c r="S115" i="7"/>
  <c r="U115" i="7" s="1"/>
  <c r="W115" i="7" s="1"/>
  <c r="N115" i="7"/>
  <c r="O115" i="7" s="1"/>
  <c r="P115" i="7" s="1"/>
  <c r="Q115" i="7" s="1"/>
  <c r="S117" i="7"/>
  <c r="U117" i="7" s="1"/>
  <c r="W117" i="7" s="1"/>
  <c r="N117" i="7"/>
  <c r="O117" i="7" s="1"/>
  <c r="P117" i="7" s="1"/>
  <c r="Q117" i="7" s="1"/>
  <c r="S119" i="7"/>
  <c r="U119" i="7" s="1"/>
  <c r="W119" i="7" s="1"/>
  <c r="N119" i="7"/>
  <c r="O119" i="7" s="1"/>
  <c r="P119" i="7" s="1"/>
  <c r="Q119" i="7" s="1"/>
  <c r="S121" i="7"/>
  <c r="U121" i="7" s="1"/>
  <c r="W121" i="7" s="1"/>
  <c r="N121" i="7"/>
  <c r="O121" i="7" s="1"/>
  <c r="P121" i="7" s="1"/>
  <c r="Q121" i="7" s="1"/>
  <c r="S123" i="7"/>
  <c r="U123" i="7" s="1"/>
  <c r="W123" i="7" s="1"/>
  <c r="N123" i="7"/>
  <c r="O123" i="7" s="1"/>
  <c r="P123" i="7" s="1"/>
  <c r="Q123" i="7" s="1"/>
  <c r="S125" i="7"/>
  <c r="U125" i="7" s="1"/>
  <c r="W125" i="7" s="1"/>
  <c r="N125" i="7"/>
  <c r="O125" i="7" s="1"/>
  <c r="P125" i="7" s="1"/>
  <c r="Q125" i="7" s="1"/>
  <c r="S127" i="7"/>
  <c r="U127" i="7" s="1"/>
  <c r="W127" i="7" s="1"/>
  <c r="N127" i="7"/>
  <c r="O127" i="7" s="1"/>
  <c r="P127" i="7" s="1"/>
  <c r="Q127" i="7" s="1"/>
  <c r="S129" i="7"/>
  <c r="U129" i="7" s="1"/>
  <c r="W129" i="7" s="1"/>
  <c r="N129" i="7"/>
  <c r="O129" i="7" s="1"/>
  <c r="P129" i="7" s="1"/>
  <c r="Q129" i="7" s="1"/>
  <c r="S131" i="7"/>
  <c r="U131" i="7" s="1"/>
  <c r="W131" i="7" s="1"/>
  <c r="N131" i="7"/>
  <c r="O131" i="7" s="1"/>
  <c r="P131" i="7" s="1"/>
  <c r="Q131" i="7" s="1"/>
  <c r="L107" i="7"/>
  <c r="K107" i="7"/>
  <c r="E107" i="7"/>
  <c r="H107" i="7" s="1"/>
  <c r="M107" i="7"/>
  <c r="L108" i="7"/>
  <c r="K108" i="7"/>
  <c r="E108" i="7"/>
  <c r="H108" i="7" s="1"/>
  <c r="M108" i="7"/>
  <c r="S110" i="7"/>
  <c r="U110" i="7" s="1"/>
  <c r="W110" i="7" s="1"/>
  <c r="N110" i="7"/>
  <c r="O110" i="7" s="1"/>
  <c r="P110" i="7" s="1"/>
  <c r="Q110" i="7" s="1"/>
  <c r="S112" i="7"/>
  <c r="U112" i="7" s="1"/>
  <c r="W112" i="7" s="1"/>
  <c r="N112" i="7"/>
  <c r="O112" i="7" s="1"/>
  <c r="P112" i="7" s="1"/>
  <c r="Q112" i="7" s="1"/>
  <c r="S114" i="7"/>
  <c r="U114" i="7" s="1"/>
  <c r="W114" i="7" s="1"/>
  <c r="N114" i="7"/>
  <c r="O114" i="7" s="1"/>
  <c r="P114" i="7" s="1"/>
  <c r="Q114" i="7" s="1"/>
  <c r="S116" i="7"/>
  <c r="U116" i="7" s="1"/>
  <c r="W116" i="7" s="1"/>
  <c r="N116" i="7"/>
  <c r="O116" i="7" s="1"/>
  <c r="P116" i="7" s="1"/>
  <c r="Q116" i="7" s="1"/>
  <c r="S118" i="7"/>
  <c r="U118" i="7" s="1"/>
  <c r="W118" i="7" s="1"/>
  <c r="N118" i="7"/>
  <c r="O118" i="7" s="1"/>
  <c r="P118" i="7" s="1"/>
  <c r="Q118" i="7" s="1"/>
  <c r="S120" i="7"/>
  <c r="U120" i="7" s="1"/>
  <c r="W120" i="7" s="1"/>
  <c r="N120" i="7"/>
  <c r="O120" i="7" s="1"/>
  <c r="P120" i="7" s="1"/>
  <c r="Q120" i="7" s="1"/>
  <c r="S122" i="7"/>
  <c r="U122" i="7" s="1"/>
  <c r="W122" i="7" s="1"/>
  <c r="N122" i="7"/>
  <c r="O122" i="7" s="1"/>
  <c r="P122" i="7" s="1"/>
  <c r="Q122" i="7" s="1"/>
  <c r="S124" i="7"/>
  <c r="U124" i="7" s="1"/>
  <c r="W124" i="7" s="1"/>
  <c r="N124" i="7"/>
  <c r="O124" i="7" s="1"/>
  <c r="P124" i="7" s="1"/>
  <c r="Q124" i="7" s="1"/>
  <c r="S126" i="7"/>
  <c r="U126" i="7" s="1"/>
  <c r="W126" i="7" s="1"/>
  <c r="N126" i="7"/>
  <c r="O126" i="7" s="1"/>
  <c r="P126" i="7" s="1"/>
  <c r="Q126" i="7" s="1"/>
  <c r="S128" i="7"/>
  <c r="U128" i="7" s="1"/>
  <c r="W128" i="7" s="1"/>
  <c r="N128" i="7"/>
  <c r="O128" i="7" s="1"/>
  <c r="P128" i="7" s="1"/>
  <c r="Q128" i="7" s="1"/>
  <c r="S130" i="7"/>
  <c r="U130" i="7" s="1"/>
  <c r="W130" i="7" s="1"/>
  <c r="N130" i="7"/>
  <c r="O130" i="7" s="1"/>
  <c r="P130" i="7" s="1"/>
  <c r="Q130" i="7" s="1"/>
  <c r="S132" i="7"/>
  <c r="U132" i="7" s="1"/>
  <c r="W132" i="7" s="1"/>
  <c r="N132" i="7"/>
  <c r="O132" i="7" s="1"/>
  <c r="P132" i="7" s="1"/>
  <c r="Q132" i="7" s="1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K141" i="7"/>
  <c r="E141" i="7"/>
  <c r="H141" i="7" s="1"/>
  <c r="L141" i="7"/>
  <c r="K134" i="7"/>
  <c r="E134" i="7"/>
  <c r="K135" i="7"/>
  <c r="E135" i="7"/>
  <c r="K136" i="7"/>
  <c r="E136" i="7"/>
  <c r="K137" i="7"/>
  <c r="E137" i="7"/>
  <c r="K138" i="7"/>
  <c r="E138" i="7"/>
  <c r="L138" i="7"/>
  <c r="K142" i="7"/>
  <c r="E142" i="7"/>
  <c r="H142" i="7" s="1"/>
  <c r="L142" i="7"/>
  <c r="E110" i="7"/>
  <c r="H110" i="7" s="1"/>
  <c r="K110" i="7"/>
  <c r="E111" i="7"/>
  <c r="H111" i="7" s="1"/>
  <c r="K111" i="7"/>
  <c r="E112" i="7"/>
  <c r="K112" i="7"/>
  <c r="E113" i="7"/>
  <c r="H113" i="7" s="1"/>
  <c r="K113" i="7"/>
  <c r="E114" i="7"/>
  <c r="H114" i="7" s="1"/>
  <c r="K114" i="7"/>
  <c r="E115" i="7"/>
  <c r="H115" i="7" s="1"/>
  <c r="K115" i="7"/>
  <c r="E116" i="7"/>
  <c r="K116" i="7"/>
  <c r="E117" i="7"/>
  <c r="H117" i="7" s="1"/>
  <c r="K117" i="7"/>
  <c r="E118" i="7"/>
  <c r="H118" i="7" s="1"/>
  <c r="K118" i="7"/>
  <c r="E119" i="7"/>
  <c r="H119" i="7" s="1"/>
  <c r="K119" i="7"/>
  <c r="E120" i="7"/>
  <c r="K120" i="7"/>
  <c r="E121" i="7"/>
  <c r="H121" i="7" s="1"/>
  <c r="K121" i="7"/>
  <c r="E122" i="7"/>
  <c r="H122" i="7" s="1"/>
  <c r="K122" i="7"/>
  <c r="E123" i="7"/>
  <c r="H123" i="7" s="1"/>
  <c r="K123" i="7"/>
  <c r="E124" i="7"/>
  <c r="K124" i="7"/>
  <c r="E125" i="7"/>
  <c r="H125" i="7" s="1"/>
  <c r="K125" i="7"/>
  <c r="E126" i="7"/>
  <c r="H126" i="7" s="1"/>
  <c r="K126" i="7"/>
  <c r="E127" i="7"/>
  <c r="H127" i="7" s="1"/>
  <c r="K127" i="7"/>
  <c r="E128" i="7"/>
  <c r="K128" i="7"/>
  <c r="E129" i="7"/>
  <c r="H129" i="7" s="1"/>
  <c r="K129" i="7"/>
  <c r="E130" i="7"/>
  <c r="H130" i="7" s="1"/>
  <c r="K130" i="7"/>
  <c r="E131" i="7"/>
  <c r="H131" i="7" s="1"/>
  <c r="K131" i="7"/>
  <c r="E132" i="7"/>
  <c r="K132" i="7"/>
  <c r="E133" i="7"/>
  <c r="H133" i="7" s="1"/>
  <c r="L133" i="7"/>
  <c r="L134" i="7"/>
  <c r="L135" i="7"/>
  <c r="L136" i="7"/>
  <c r="L137" i="7"/>
  <c r="M138" i="7"/>
  <c r="K139" i="7"/>
  <c r="E139" i="7"/>
  <c r="L139" i="7"/>
  <c r="M142" i="7"/>
  <c r="M133" i="7"/>
  <c r="M134" i="7"/>
  <c r="M135" i="7"/>
  <c r="M136" i="7"/>
  <c r="M137" i="7"/>
  <c r="M139" i="7"/>
  <c r="K140" i="7"/>
  <c r="E140" i="7"/>
  <c r="H140" i="7" s="1"/>
  <c r="L140" i="7"/>
  <c r="H172" i="7"/>
  <c r="L143" i="7"/>
  <c r="L144" i="7"/>
  <c r="L145" i="7"/>
  <c r="L146" i="7"/>
  <c r="L147" i="7"/>
  <c r="L148" i="7"/>
  <c r="L149" i="7"/>
  <c r="L150" i="7"/>
  <c r="L151" i="7"/>
  <c r="L152" i="7"/>
  <c r="L153" i="7"/>
  <c r="L154" i="7"/>
  <c r="L155" i="7"/>
  <c r="L156" i="7"/>
  <c r="L157" i="7"/>
  <c r="L158" i="7"/>
  <c r="L159" i="7"/>
  <c r="L160" i="7"/>
  <c r="L161" i="7"/>
  <c r="L162" i="7"/>
  <c r="L163" i="7"/>
  <c r="L164" i="7"/>
  <c r="L165" i="7"/>
  <c r="L166" i="7"/>
  <c r="L167" i="7"/>
  <c r="L168" i="7"/>
  <c r="M171" i="7"/>
  <c r="L171" i="7"/>
  <c r="M175" i="7"/>
  <c r="L175" i="7"/>
  <c r="M180" i="7"/>
  <c r="L180" i="7"/>
  <c r="K180" i="7"/>
  <c r="E180" i="7"/>
  <c r="K184" i="7"/>
  <c r="E184" i="7"/>
  <c r="M184" i="7"/>
  <c r="L184" i="7"/>
  <c r="K188" i="7"/>
  <c r="E188" i="7"/>
  <c r="M188" i="7"/>
  <c r="L188" i="7"/>
  <c r="H169" i="7"/>
  <c r="M172" i="7"/>
  <c r="L172" i="7"/>
  <c r="M176" i="7"/>
  <c r="H176" i="7" s="1"/>
  <c r="L176" i="7"/>
  <c r="H177" i="7"/>
  <c r="M181" i="7"/>
  <c r="L181" i="7"/>
  <c r="K181" i="7"/>
  <c r="E181" i="7"/>
  <c r="H181" i="7" s="1"/>
  <c r="K185" i="7"/>
  <c r="E185" i="7"/>
  <c r="H185" i="7" s="1"/>
  <c r="M185" i="7"/>
  <c r="L185" i="7"/>
  <c r="K189" i="7"/>
  <c r="E189" i="7"/>
  <c r="H189" i="7" s="1"/>
  <c r="M189" i="7"/>
  <c r="L189" i="7"/>
  <c r="M169" i="7"/>
  <c r="L169" i="7"/>
  <c r="K172" i="7"/>
  <c r="M173" i="7"/>
  <c r="H173" i="7" s="1"/>
  <c r="L173" i="7"/>
  <c r="K176" i="7"/>
  <c r="M177" i="7"/>
  <c r="L177" i="7"/>
  <c r="M178" i="7"/>
  <c r="L178" i="7"/>
  <c r="K178" i="7"/>
  <c r="E178" i="7"/>
  <c r="H178" i="7" s="1"/>
  <c r="K182" i="7"/>
  <c r="E182" i="7"/>
  <c r="H182" i="7" s="1"/>
  <c r="M182" i="7"/>
  <c r="L182" i="7"/>
  <c r="K186" i="7"/>
  <c r="E186" i="7"/>
  <c r="H186" i="7" s="1"/>
  <c r="M186" i="7"/>
  <c r="L186" i="7"/>
  <c r="K190" i="7"/>
  <c r="E190" i="7"/>
  <c r="H190" i="7" s="1"/>
  <c r="M190" i="7"/>
  <c r="L190" i="7"/>
  <c r="E143" i="7"/>
  <c r="H143" i="7" s="1"/>
  <c r="E144" i="7"/>
  <c r="H144" i="7" s="1"/>
  <c r="E145" i="7"/>
  <c r="H145" i="7" s="1"/>
  <c r="E146" i="7"/>
  <c r="H146" i="7" s="1"/>
  <c r="E147" i="7"/>
  <c r="H147" i="7" s="1"/>
  <c r="E148" i="7"/>
  <c r="H148" i="7" s="1"/>
  <c r="E149" i="7"/>
  <c r="H149" i="7" s="1"/>
  <c r="E150" i="7"/>
  <c r="H150" i="7" s="1"/>
  <c r="E151" i="7"/>
  <c r="H151" i="7" s="1"/>
  <c r="E152" i="7"/>
  <c r="H152" i="7" s="1"/>
  <c r="E153" i="7"/>
  <c r="H153" i="7" s="1"/>
  <c r="E154" i="7"/>
  <c r="H154" i="7" s="1"/>
  <c r="E155" i="7"/>
  <c r="H155" i="7" s="1"/>
  <c r="E156" i="7"/>
  <c r="H156" i="7" s="1"/>
  <c r="E157" i="7"/>
  <c r="H157" i="7" s="1"/>
  <c r="E158" i="7"/>
  <c r="H158" i="7" s="1"/>
  <c r="E159" i="7"/>
  <c r="H159" i="7" s="1"/>
  <c r="E160" i="7"/>
  <c r="H160" i="7" s="1"/>
  <c r="E161" i="7"/>
  <c r="H161" i="7" s="1"/>
  <c r="E162" i="7"/>
  <c r="H162" i="7" s="1"/>
  <c r="E163" i="7"/>
  <c r="H163" i="7" s="1"/>
  <c r="E164" i="7"/>
  <c r="H164" i="7" s="1"/>
  <c r="E165" i="7"/>
  <c r="H165" i="7" s="1"/>
  <c r="E166" i="7"/>
  <c r="H166" i="7" s="1"/>
  <c r="K166" i="7"/>
  <c r="K167" i="7"/>
  <c r="K168" i="7"/>
  <c r="K169" i="7"/>
  <c r="M170" i="7"/>
  <c r="H170" i="7" s="1"/>
  <c r="L170" i="7"/>
  <c r="E171" i="7"/>
  <c r="K173" i="7"/>
  <c r="M174" i="7"/>
  <c r="H174" i="7" s="1"/>
  <c r="L174" i="7"/>
  <c r="E175" i="7"/>
  <c r="K177" i="7"/>
  <c r="M179" i="7"/>
  <c r="L179" i="7"/>
  <c r="K179" i="7"/>
  <c r="E179" i="7"/>
  <c r="H179" i="7" s="1"/>
  <c r="K183" i="7"/>
  <c r="E183" i="7"/>
  <c r="H183" i="7" s="1"/>
  <c r="M183" i="7"/>
  <c r="L183" i="7"/>
  <c r="K187" i="7"/>
  <c r="E187" i="7"/>
  <c r="H187" i="7" s="1"/>
  <c r="M187" i="7"/>
  <c r="L187" i="7"/>
  <c r="K191" i="7"/>
  <c r="E191" i="7"/>
  <c r="H191" i="7" s="1"/>
  <c r="M191" i="7"/>
  <c r="L191" i="7"/>
  <c r="K195" i="7"/>
  <c r="E195" i="7"/>
  <c r="H195" i="7" s="1"/>
  <c r="M195" i="7"/>
  <c r="L195" i="7"/>
  <c r="Y206" i="7"/>
  <c r="R206" i="7"/>
  <c r="Y207" i="7"/>
  <c r="R207" i="7"/>
  <c r="K192" i="7"/>
  <c r="E192" i="7"/>
  <c r="H192" i="7" s="1"/>
  <c r="M192" i="7"/>
  <c r="L192" i="7"/>
  <c r="Y196" i="7"/>
  <c r="R196" i="7"/>
  <c r="Y198" i="7"/>
  <c r="R198" i="7"/>
  <c r="Y200" i="7"/>
  <c r="R200" i="7"/>
  <c r="Y202" i="7"/>
  <c r="R202" i="7"/>
  <c r="Y205" i="7"/>
  <c r="R205" i="7"/>
  <c r="G17" i="8"/>
  <c r="F17" i="8"/>
  <c r="I17" i="8"/>
  <c r="H17" i="8"/>
  <c r="K193" i="7"/>
  <c r="E193" i="7"/>
  <c r="H193" i="7" s="1"/>
  <c r="M193" i="7"/>
  <c r="L193" i="7"/>
  <c r="Y204" i="7"/>
  <c r="R204" i="7"/>
  <c r="G11" i="8"/>
  <c r="F11" i="8"/>
  <c r="I11" i="8"/>
  <c r="H11" i="8"/>
  <c r="K194" i="7"/>
  <c r="E194" i="7"/>
  <c r="H194" i="7" s="1"/>
  <c r="M194" i="7"/>
  <c r="L194" i="7"/>
  <c r="Y197" i="7"/>
  <c r="R197" i="7"/>
  <c r="Y199" i="7"/>
  <c r="R199" i="7"/>
  <c r="Y201" i="7"/>
  <c r="R201" i="7"/>
  <c r="Y203" i="7"/>
  <c r="R203" i="7"/>
  <c r="E6" i="8"/>
  <c r="E7" i="8"/>
  <c r="E8" i="8"/>
  <c r="E9" i="8"/>
  <c r="E10" i="8"/>
  <c r="N6" i="12"/>
  <c r="M6" i="12"/>
  <c r="G6" i="12"/>
  <c r="K196" i="7"/>
  <c r="S196" i="7"/>
  <c r="U196" i="7" s="1"/>
  <c r="W196" i="7" s="1"/>
  <c r="K197" i="7"/>
  <c r="S197" i="7"/>
  <c r="U197" i="7" s="1"/>
  <c r="W197" i="7" s="1"/>
  <c r="K198" i="7"/>
  <c r="S198" i="7"/>
  <c r="U198" i="7" s="1"/>
  <c r="W198" i="7" s="1"/>
  <c r="K199" i="7"/>
  <c r="S199" i="7"/>
  <c r="U199" i="7" s="1"/>
  <c r="W199" i="7" s="1"/>
  <c r="K200" i="7"/>
  <c r="S200" i="7"/>
  <c r="U200" i="7" s="1"/>
  <c r="W200" i="7" s="1"/>
  <c r="K201" i="7"/>
  <c r="S201" i="7"/>
  <c r="U201" i="7" s="1"/>
  <c r="W201" i="7" s="1"/>
  <c r="K202" i="7"/>
  <c r="S202" i="7"/>
  <c r="U202" i="7" s="1"/>
  <c r="W202" i="7" s="1"/>
  <c r="K203" i="7"/>
  <c r="S203" i="7"/>
  <c r="U203" i="7" s="1"/>
  <c r="W203" i="7" s="1"/>
  <c r="K204" i="7"/>
  <c r="S204" i="7"/>
  <c r="U204" i="7" s="1"/>
  <c r="W204" i="7" s="1"/>
  <c r="K205" i="7"/>
  <c r="S205" i="7"/>
  <c r="U205" i="7" s="1"/>
  <c r="W205" i="7" s="1"/>
  <c r="K206" i="7"/>
  <c r="S206" i="7"/>
  <c r="U206" i="7" s="1"/>
  <c r="W206" i="7" s="1"/>
  <c r="S207" i="7"/>
  <c r="U207" i="7" s="1"/>
  <c r="W207" i="7" s="1"/>
  <c r="O6" i="12"/>
  <c r="E196" i="7"/>
  <c r="H196" i="7" s="1"/>
  <c r="E197" i="7"/>
  <c r="H197" i="7" s="1"/>
  <c r="E198" i="7"/>
  <c r="H198" i="7" s="1"/>
  <c r="E199" i="7"/>
  <c r="H199" i="7" s="1"/>
  <c r="E200" i="7"/>
  <c r="H200" i="7" s="1"/>
  <c r="E201" i="7"/>
  <c r="H201" i="7" s="1"/>
  <c r="E202" i="7"/>
  <c r="H202" i="7" s="1"/>
  <c r="E203" i="7"/>
  <c r="H203" i="7" s="1"/>
  <c r="H204" i="7"/>
  <c r="E22" i="8"/>
  <c r="E13" i="8"/>
  <c r="E18" i="8"/>
  <c r="M3" i="12"/>
  <c r="G3" i="12"/>
  <c r="J3" i="12" s="1"/>
  <c r="O3" i="12"/>
  <c r="N3" i="12"/>
  <c r="H18" i="8" l="1"/>
  <c r="G18" i="8"/>
  <c r="I18" i="8"/>
  <c r="F18" i="8"/>
  <c r="J6" i="12"/>
  <c r="S194" i="7"/>
  <c r="U194" i="7" s="1"/>
  <c r="W194" i="7" s="1"/>
  <c r="N194" i="7"/>
  <c r="O194" i="7" s="1"/>
  <c r="P194" i="7" s="1"/>
  <c r="Q194" i="7" s="1"/>
  <c r="S195" i="7"/>
  <c r="U195" i="7" s="1"/>
  <c r="W195" i="7" s="1"/>
  <c r="N195" i="7"/>
  <c r="O195" i="7" s="1"/>
  <c r="P195" i="7" s="1"/>
  <c r="Q195" i="7" s="1"/>
  <c r="S183" i="7"/>
  <c r="U183" i="7" s="1"/>
  <c r="W183" i="7" s="1"/>
  <c r="N183" i="7"/>
  <c r="O183" i="7" s="1"/>
  <c r="P183" i="7" s="1"/>
  <c r="Q183" i="7" s="1"/>
  <c r="S186" i="7"/>
  <c r="U186" i="7" s="1"/>
  <c r="W186" i="7" s="1"/>
  <c r="N186" i="7"/>
  <c r="O186" i="7" s="1"/>
  <c r="P186" i="7" s="1"/>
  <c r="Q186" i="7" s="1"/>
  <c r="N177" i="7"/>
  <c r="O177" i="7" s="1"/>
  <c r="P177" i="7" s="1"/>
  <c r="Q177" i="7" s="1"/>
  <c r="S177" i="7"/>
  <c r="U177" i="7" s="1"/>
  <c r="W177" i="7" s="1"/>
  <c r="S161" i="7"/>
  <c r="U161" i="7" s="1"/>
  <c r="W161" i="7" s="1"/>
  <c r="N161" i="7"/>
  <c r="O161" i="7" s="1"/>
  <c r="P161" i="7" s="1"/>
  <c r="Q161" i="7" s="1"/>
  <c r="S149" i="7"/>
  <c r="U149" i="7" s="1"/>
  <c r="W149" i="7" s="1"/>
  <c r="N149" i="7"/>
  <c r="O149" i="7" s="1"/>
  <c r="P149" i="7" s="1"/>
  <c r="Q149" i="7" s="1"/>
  <c r="H139" i="7"/>
  <c r="S105" i="7"/>
  <c r="U105" i="7" s="1"/>
  <c r="W105" i="7" s="1"/>
  <c r="N105" i="7"/>
  <c r="O105" i="7" s="1"/>
  <c r="P105" i="7" s="1"/>
  <c r="Q105" i="7" s="1"/>
  <c r="N67" i="7"/>
  <c r="O67" i="7" s="1"/>
  <c r="P67" i="7" s="1"/>
  <c r="Q67" i="7" s="1"/>
  <c r="S67" i="7"/>
  <c r="U67" i="7" s="1"/>
  <c r="W67" i="7" s="1"/>
  <c r="Y50" i="7"/>
  <c r="R50" i="7"/>
  <c r="Y38" i="7"/>
  <c r="R38" i="7"/>
  <c r="Y26" i="7"/>
  <c r="R26" i="7"/>
  <c r="Y53" i="7"/>
  <c r="R53" i="7"/>
  <c r="Y41" i="7"/>
  <c r="R41" i="7"/>
  <c r="Y29" i="7"/>
  <c r="R29" i="7"/>
  <c r="S206" i="6"/>
  <c r="U206" i="6" s="1"/>
  <c r="W206" i="6" s="1"/>
  <c r="N206" i="6"/>
  <c r="O206" i="6" s="1"/>
  <c r="P206" i="6" s="1"/>
  <c r="Q206" i="6" s="1"/>
  <c r="S197" i="6"/>
  <c r="U197" i="6" s="1"/>
  <c r="W197" i="6" s="1"/>
  <c r="N197" i="6"/>
  <c r="O197" i="6" s="1"/>
  <c r="P197" i="6" s="1"/>
  <c r="Q197" i="6" s="1"/>
  <c r="S181" i="6"/>
  <c r="U181" i="6" s="1"/>
  <c r="W181" i="6" s="1"/>
  <c r="N181" i="6"/>
  <c r="O181" i="6" s="1"/>
  <c r="P181" i="6" s="1"/>
  <c r="Q181" i="6" s="1"/>
  <c r="N106" i="6"/>
  <c r="O106" i="6" s="1"/>
  <c r="P106" i="6" s="1"/>
  <c r="Q106" i="6" s="1"/>
  <c r="S106" i="6"/>
  <c r="U106" i="6" s="1"/>
  <c r="W106" i="6" s="1"/>
  <c r="Y191" i="6"/>
  <c r="R191" i="6"/>
  <c r="N161" i="6"/>
  <c r="O161" i="6" s="1"/>
  <c r="P161" i="6" s="1"/>
  <c r="Q161" i="6" s="1"/>
  <c r="S161" i="6"/>
  <c r="U161" i="6" s="1"/>
  <c r="W161" i="6" s="1"/>
  <c r="Y147" i="6"/>
  <c r="R147" i="6"/>
  <c r="N137" i="6"/>
  <c r="O137" i="6" s="1"/>
  <c r="P137" i="6" s="1"/>
  <c r="Q137" i="6" s="1"/>
  <c r="S137" i="6"/>
  <c r="U137" i="6" s="1"/>
  <c r="W137" i="6" s="1"/>
  <c r="Y123" i="6"/>
  <c r="R123" i="6"/>
  <c r="N121" i="6"/>
  <c r="O121" i="6" s="1"/>
  <c r="P121" i="6" s="1"/>
  <c r="Q121" i="6" s="1"/>
  <c r="S121" i="6"/>
  <c r="U121" i="6" s="1"/>
  <c r="W121" i="6" s="1"/>
  <c r="N113" i="6"/>
  <c r="O113" i="6" s="1"/>
  <c r="P113" i="6" s="1"/>
  <c r="Q113" i="6" s="1"/>
  <c r="S113" i="6"/>
  <c r="U113" i="6" s="1"/>
  <c r="W113" i="6" s="1"/>
  <c r="N78" i="6"/>
  <c r="O78" i="6" s="1"/>
  <c r="P78" i="6" s="1"/>
  <c r="Q78" i="6" s="1"/>
  <c r="S78" i="6"/>
  <c r="U78" i="6" s="1"/>
  <c r="W78" i="6" s="1"/>
  <c r="N46" i="6"/>
  <c r="O46" i="6" s="1"/>
  <c r="P46" i="6" s="1"/>
  <c r="Q46" i="6" s="1"/>
  <c r="S46" i="6"/>
  <c r="U46" i="6" s="1"/>
  <c r="W46" i="6" s="1"/>
  <c r="S52" i="6"/>
  <c r="U52" i="6" s="1"/>
  <c r="W52" i="6" s="1"/>
  <c r="N52" i="6"/>
  <c r="O52" i="6" s="1"/>
  <c r="P52" i="6" s="1"/>
  <c r="Q52" i="6" s="1"/>
  <c r="S64" i="6"/>
  <c r="U64" i="6" s="1"/>
  <c r="W64" i="6" s="1"/>
  <c r="N64" i="6"/>
  <c r="O64" i="6" s="1"/>
  <c r="P64" i="6" s="1"/>
  <c r="Q64" i="6" s="1"/>
  <c r="Y28" i="6"/>
  <c r="R28" i="6"/>
  <c r="S44" i="6"/>
  <c r="U44" i="6" s="1"/>
  <c r="W44" i="6" s="1"/>
  <c r="N44" i="6"/>
  <c r="O44" i="6" s="1"/>
  <c r="P44" i="6" s="1"/>
  <c r="Q44" i="6" s="1"/>
  <c r="Y9" i="6"/>
  <c r="R9" i="6"/>
  <c r="S49" i="5"/>
  <c r="U49" i="5" s="1"/>
  <c r="W49" i="5" s="1"/>
  <c r="N49" i="5"/>
  <c r="O49" i="5" s="1"/>
  <c r="P49" i="5" s="1"/>
  <c r="Q49" i="5" s="1"/>
  <c r="S25" i="5"/>
  <c r="U25" i="5" s="1"/>
  <c r="W25" i="5" s="1"/>
  <c r="N25" i="5"/>
  <c r="O25" i="5" s="1"/>
  <c r="P25" i="5" s="1"/>
  <c r="Q25" i="5" s="1"/>
  <c r="S154" i="4"/>
  <c r="N154" i="4"/>
  <c r="O154" i="4" s="1"/>
  <c r="P154" i="4" s="1"/>
  <c r="Q154" i="4" s="1"/>
  <c r="S136" i="4"/>
  <c r="N136" i="4"/>
  <c r="O136" i="4" s="1"/>
  <c r="P136" i="4" s="1"/>
  <c r="Q136" i="4" s="1"/>
  <c r="Z52" i="5"/>
  <c r="Y52" i="5"/>
  <c r="R52" i="5"/>
  <c r="Z20" i="5"/>
  <c r="Y20" i="5"/>
  <c r="R20" i="5"/>
  <c r="N149" i="4"/>
  <c r="O149" i="4" s="1"/>
  <c r="P149" i="4" s="1"/>
  <c r="Q149" i="4" s="1"/>
  <c r="S149" i="4"/>
  <c r="N120" i="4"/>
  <c r="O120" i="4" s="1"/>
  <c r="P120" i="4" s="1"/>
  <c r="Q120" i="4" s="1"/>
  <c r="S120" i="4"/>
  <c r="N96" i="4"/>
  <c r="O96" i="4" s="1"/>
  <c r="P96" i="4" s="1"/>
  <c r="Q96" i="4" s="1"/>
  <c r="S96" i="4"/>
  <c r="N80" i="4"/>
  <c r="O80" i="4" s="1"/>
  <c r="P80" i="4" s="1"/>
  <c r="Q80" i="4" s="1"/>
  <c r="S80" i="4"/>
  <c r="S109" i="4"/>
  <c r="N109" i="4"/>
  <c r="O109" i="4" s="1"/>
  <c r="P109" i="4" s="1"/>
  <c r="Q109" i="4" s="1"/>
  <c r="S85" i="4"/>
  <c r="N85" i="4"/>
  <c r="O85" i="4" s="1"/>
  <c r="P85" i="4" s="1"/>
  <c r="Q85" i="4" s="1"/>
  <c r="N45" i="4"/>
  <c r="O45" i="4" s="1"/>
  <c r="P45" i="4" s="1"/>
  <c r="Q45" i="4" s="1"/>
  <c r="S45" i="4"/>
  <c r="N47" i="4"/>
  <c r="O47" i="4" s="1"/>
  <c r="P47" i="4" s="1"/>
  <c r="Q47" i="4" s="1"/>
  <c r="S47" i="4"/>
  <c r="N29" i="4"/>
  <c r="O29" i="4" s="1"/>
  <c r="P29" i="4" s="1"/>
  <c r="Q29" i="4" s="1"/>
  <c r="S29" i="4"/>
  <c r="S62" i="4"/>
  <c r="N62" i="4"/>
  <c r="O62" i="4" s="1"/>
  <c r="P62" i="4" s="1"/>
  <c r="Q62" i="4" s="1"/>
  <c r="R55" i="4"/>
  <c r="U55" i="4"/>
  <c r="R51" i="4"/>
  <c r="U51" i="4"/>
  <c r="S50" i="4"/>
  <c r="N50" i="4"/>
  <c r="O50" i="4" s="1"/>
  <c r="P50" i="4" s="1"/>
  <c r="Q50" i="4" s="1"/>
  <c r="S32" i="4"/>
  <c r="N32" i="4"/>
  <c r="O32" i="4" s="1"/>
  <c r="P32" i="4" s="1"/>
  <c r="Q32" i="4" s="1"/>
  <c r="U26" i="4"/>
  <c r="R26" i="4"/>
  <c r="U16" i="4"/>
  <c r="R16" i="4"/>
  <c r="U10" i="4"/>
  <c r="R10" i="4"/>
  <c r="N17" i="4"/>
  <c r="O17" i="4" s="1"/>
  <c r="P17" i="4" s="1"/>
  <c r="Q17" i="4" s="1"/>
  <c r="S17" i="4"/>
  <c r="U24" i="4"/>
  <c r="R24" i="4"/>
  <c r="U18" i="4"/>
  <c r="R18" i="4"/>
  <c r="U8" i="4"/>
  <c r="R8" i="4"/>
  <c r="F13" i="8"/>
  <c r="I13" i="8"/>
  <c r="H13" i="8"/>
  <c r="G13" i="8"/>
  <c r="G8" i="8"/>
  <c r="F8" i="8"/>
  <c r="H8" i="8"/>
  <c r="H175" i="7"/>
  <c r="H171" i="7"/>
  <c r="S188" i="7"/>
  <c r="U188" i="7" s="1"/>
  <c r="W188" i="7" s="1"/>
  <c r="N188" i="7"/>
  <c r="O188" i="7" s="1"/>
  <c r="P188" i="7" s="1"/>
  <c r="Q188" i="7" s="1"/>
  <c r="S184" i="7"/>
  <c r="U184" i="7" s="1"/>
  <c r="W184" i="7" s="1"/>
  <c r="N184" i="7"/>
  <c r="O184" i="7" s="1"/>
  <c r="P184" i="7" s="1"/>
  <c r="Q184" i="7" s="1"/>
  <c r="H180" i="7"/>
  <c r="N175" i="7"/>
  <c r="O175" i="7" s="1"/>
  <c r="P175" i="7" s="1"/>
  <c r="Q175" i="7" s="1"/>
  <c r="S175" i="7"/>
  <c r="U175" i="7" s="1"/>
  <c r="W175" i="7" s="1"/>
  <c r="N168" i="7"/>
  <c r="O168" i="7" s="1"/>
  <c r="P168" i="7" s="1"/>
  <c r="Q168" i="7" s="1"/>
  <c r="S168" i="7"/>
  <c r="U168" i="7" s="1"/>
  <c r="W168" i="7" s="1"/>
  <c r="S164" i="7"/>
  <c r="U164" i="7" s="1"/>
  <c r="W164" i="7" s="1"/>
  <c r="N164" i="7"/>
  <c r="O164" i="7" s="1"/>
  <c r="P164" i="7" s="1"/>
  <c r="Q164" i="7" s="1"/>
  <c r="S160" i="7"/>
  <c r="U160" i="7" s="1"/>
  <c r="W160" i="7" s="1"/>
  <c r="N160" i="7"/>
  <c r="O160" i="7" s="1"/>
  <c r="P160" i="7" s="1"/>
  <c r="Q160" i="7" s="1"/>
  <c r="S156" i="7"/>
  <c r="U156" i="7" s="1"/>
  <c r="W156" i="7" s="1"/>
  <c r="N156" i="7"/>
  <c r="O156" i="7" s="1"/>
  <c r="P156" i="7" s="1"/>
  <c r="Q156" i="7" s="1"/>
  <c r="S152" i="7"/>
  <c r="U152" i="7" s="1"/>
  <c r="W152" i="7" s="1"/>
  <c r="N152" i="7"/>
  <c r="O152" i="7" s="1"/>
  <c r="P152" i="7" s="1"/>
  <c r="Q152" i="7" s="1"/>
  <c r="S148" i="7"/>
  <c r="U148" i="7" s="1"/>
  <c r="W148" i="7" s="1"/>
  <c r="N148" i="7"/>
  <c r="O148" i="7" s="1"/>
  <c r="P148" i="7" s="1"/>
  <c r="Q148" i="7" s="1"/>
  <c r="S144" i="7"/>
  <c r="U144" i="7" s="1"/>
  <c r="W144" i="7" s="1"/>
  <c r="N144" i="7"/>
  <c r="O144" i="7" s="1"/>
  <c r="P144" i="7" s="1"/>
  <c r="Q144" i="7" s="1"/>
  <c r="S140" i="7"/>
  <c r="U140" i="7" s="1"/>
  <c r="W140" i="7" s="1"/>
  <c r="N140" i="7"/>
  <c r="O140" i="7" s="1"/>
  <c r="P140" i="7" s="1"/>
  <c r="Q140" i="7" s="1"/>
  <c r="S135" i="7"/>
  <c r="U135" i="7" s="1"/>
  <c r="W135" i="7" s="1"/>
  <c r="N135" i="7"/>
  <c r="O135" i="7" s="1"/>
  <c r="P135" i="7" s="1"/>
  <c r="Q135" i="7" s="1"/>
  <c r="H137" i="7"/>
  <c r="H135" i="7"/>
  <c r="S141" i="7"/>
  <c r="U141" i="7" s="1"/>
  <c r="W141" i="7" s="1"/>
  <c r="N141" i="7"/>
  <c r="O141" i="7" s="1"/>
  <c r="P141" i="7" s="1"/>
  <c r="Q141" i="7" s="1"/>
  <c r="Y130" i="7"/>
  <c r="R130" i="7"/>
  <c r="Y126" i="7"/>
  <c r="R126" i="7"/>
  <c r="Y122" i="7"/>
  <c r="R122" i="7"/>
  <c r="Y118" i="7"/>
  <c r="R118" i="7"/>
  <c r="Y114" i="7"/>
  <c r="R114" i="7"/>
  <c r="Y110" i="7"/>
  <c r="R110" i="7"/>
  <c r="Y129" i="7"/>
  <c r="R129" i="7"/>
  <c r="Y125" i="7"/>
  <c r="R125" i="7"/>
  <c r="Y121" i="7"/>
  <c r="R121" i="7"/>
  <c r="Y117" i="7"/>
  <c r="R117" i="7"/>
  <c r="Y113" i="7"/>
  <c r="R113" i="7"/>
  <c r="S104" i="7"/>
  <c r="U104" i="7" s="1"/>
  <c r="W104" i="7" s="1"/>
  <c r="N104" i="7"/>
  <c r="O104" i="7" s="1"/>
  <c r="P104" i="7" s="1"/>
  <c r="Q104" i="7" s="1"/>
  <c r="S100" i="7"/>
  <c r="U100" i="7" s="1"/>
  <c r="W100" i="7" s="1"/>
  <c r="N100" i="7"/>
  <c r="O100" i="7" s="1"/>
  <c r="P100" i="7" s="1"/>
  <c r="Q100" i="7" s="1"/>
  <c r="H96" i="7"/>
  <c r="H92" i="7"/>
  <c r="H88" i="7"/>
  <c r="H84" i="7"/>
  <c r="H80" i="7"/>
  <c r="H103" i="7"/>
  <c r="N95" i="7"/>
  <c r="O95" i="7" s="1"/>
  <c r="P95" i="7" s="1"/>
  <c r="Q95" i="7" s="1"/>
  <c r="S95" i="7"/>
  <c r="U95" i="7" s="1"/>
  <c r="W95" i="7" s="1"/>
  <c r="N91" i="7"/>
  <c r="O91" i="7" s="1"/>
  <c r="P91" i="7" s="1"/>
  <c r="Q91" i="7" s="1"/>
  <c r="S91" i="7"/>
  <c r="U91" i="7" s="1"/>
  <c r="W91" i="7" s="1"/>
  <c r="N87" i="7"/>
  <c r="O87" i="7" s="1"/>
  <c r="P87" i="7" s="1"/>
  <c r="Q87" i="7" s="1"/>
  <c r="S87" i="7"/>
  <c r="U87" i="7" s="1"/>
  <c r="W87" i="7" s="1"/>
  <c r="N83" i="7"/>
  <c r="O83" i="7" s="1"/>
  <c r="P83" i="7" s="1"/>
  <c r="Q83" i="7" s="1"/>
  <c r="S83" i="7"/>
  <c r="U83" i="7" s="1"/>
  <c r="W83" i="7" s="1"/>
  <c r="N79" i="7"/>
  <c r="O79" i="7" s="1"/>
  <c r="P79" i="7" s="1"/>
  <c r="Q79" i="7" s="1"/>
  <c r="S79" i="7"/>
  <c r="U79" i="7" s="1"/>
  <c r="W79" i="7" s="1"/>
  <c r="N74" i="7"/>
  <c r="O74" i="7" s="1"/>
  <c r="P74" i="7" s="1"/>
  <c r="Q74" i="7" s="1"/>
  <c r="S74" i="7"/>
  <c r="U74" i="7" s="1"/>
  <c r="W74" i="7" s="1"/>
  <c r="N70" i="7"/>
  <c r="O70" i="7" s="1"/>
  <c r="P70" i="7" s="1"/>
  <c r="Q70" i="7" s="1"/>
  <c r="S70" i="7"/>
  <c r="U70" i="7" s="1"/>
  <c r="W70" i="7" s="1"/>
  <c r="N66" i="7"/>
  <c r="O66" i="7" s="1"/>
  <c r="P66" i="7" s="1"/>
  <c r="Q66" i="7" s="1"/>
  <c r="S66" i="7"/>
  <c r="U66" i="7" s="1"/>
  <c r="W66" i="7" s="1"/>
  <c r="N62" i="7"/>
  <c r="O62" i="7" s="1"/>
  <c r="P62" i="7" s="1"/>
  <c r="Q62" i="7" s="1"/>
  <c r="S62" i="7"/>
  <c r="U62" i="7" s="1"/>
  <c r="W62" i="7" s="1"/>
  <c r="S58" i="7"/>
  <c r="U58" i="7" s="1"/>
  <c r="W58" i="7" s="1"/>
  <c r="N58" i="7"/>
  <c r="O58" i="7" s="1"/>
  <c r="P58" i="7" s="1"/>
  <c r="Q58" i="7" s="1"/>
  <c r="H102" i="7"/>
  <c r="N94" i="7"/>
  <c r="O94" i="7" s="1"/>
  <c r="P94" i="7" s="1"/>
  <c r="Q94" i="7" s="1"/>
  <c r="S94" i="7"/>
  <c r="U94" i="7" s="1"/>
  <c r="W94" i="7" s="1"/>
  <c r="N90" i="7"/>
  <c r="O90" i="7" s="1"/>
  <c r="P90" i="7" s="1"/>
  <c r="Q90" i="7" s="1"/>
  <c r="S90" i="7"/>
  <c r="U90" i="7" s="1"/>
  <c r="W90" i="7" s="1"/>
  <c r="N86" i="7"/>
  <c r="O86" i="7" s="1"/>
  <c r="P86" i="7" s="1"/>
  <c r="Q86" i="7" s="1"/>
  <c r="S86" i="7"/>
  <c r="U86" i="7" s="1"/>
  <c r="W86" i="7" s="1"/>
  <c r="N82" i="7"/>
  <c r="O82" i="7" s="1"/>
  <c r="P82" i="7" s="1"/>
  <c r="Q82" i="7" s="1"/>
  <c r="S82" i="7"/>
  <c r="U82" i="7" s="1"/>
  <c r="W82" i="7" s="1"/>
  <c r="N78" i="7"/>
  <c r="O78" i="7" s="1"/>
  <c r="P78" i="7" s="1"/>
  <c r="Q78" i="7" s="1"/>
  <c r="S78" i="7"/>
  <c r="U78" i="7" s="1"/>
  <c r="W78" i="7" s="1"/>
  <c r="H74" i="7"/>
  <c r="H70" i="7"/>
  <c r="H66" i="7"/>
  <c r="H62" i="7"/>
  <c r="S101" i="7"/>
  <c r="U101" i="7" s="1"/>
  <c r="W101" i="7" s="1"/>
  <c r="N101" i="7"/>
  <c r="O101" i="7" s="1"/>
  <c r="P101" i="7" s="1"/>
  <c r="Q101" i="7" s="1"/>
  <c r="H97" i="7"/>
  <c r="H93" i="7"/>
  <c r="H89" i="7"/>
  <c r="H85" i="7"/>
  <c r="H81" i="7"/>
  <c r="H77" i="7"/>
  <c r="H60" i="7"/>
  <c r="H21" i="7"/>
  <c r="H17" i="7"/>
  <c r="H13" i="7"/>
  <c r="H9" i="7"/>
  <c r="H20" i="7"/>
  <c r="H16" i="7"/>
  <c r="H12" i="7"/>
  <c r="S23" i="7"/>
  <c r="U23" i="7" s="1"/>
  <c r="W23" i="7" s="1"/>
  <c r="N23" i="7"/>
  <c r="O23" i="7" s="1"/>
  <c r="P23" i="7" s="1"/>
  <c r="Q23" i="7" s="1"/>
  <c r="S19" i="7"/>
  <c r="U19" i="7" s="1"/>
  <c r="W19" i="7" s="1"/>
  <c r="N19" i="7"/>
  <c r="O19" i="7" s="1"/>
  <c r="P19" i="7" s="1"/>
  <c r="Q19" i="7" s="1"/>
  <c r="S15" i="7"/>
  <c r="U15" i="7" s="1"/>
  <c r="W15" i="7" s="1"/>
  <c r="N15" i="7"/>
  <c r="O15" i="7" s="1"/>
  <c r="P15" i="7" s="1"/>
  <c r="Q15" i="7" s="1"/>
  <c r="S11" i="7"/>
  <c r="U11" i="7" s="1"/>
  <c r="W11" i="7" s="1"/>
  <c r="N11" i="7"/>
  <c r="O11" i="7" s="1"/>
  <c r="P11" i="7" s="1"/>
  <c r="Q11" i="7" s="1"/>
  <c r="N192" i="6"/>
  <c r="O192" i="6" s="1"/>
  <c r="P192" i="6" s="1"/>
  <c r="Q192" i="6" s="1"/>
  <c r="S192" i="6"/>
  <c r="U192" i="6" s="1"/>
  <c r="W192" i="6" s="1"/>
  <c r="N176" i="6"/>
  <c r="O176" i="6" s="1"/>
  <c r="P176" i="6" s="1"/>
  <c r="Q176" i="6" s="1"/>
  <c r="S176" i="6"/>
  <c r="U176" i="6" s="1"/>
  <c r="W176" i="6" s="1"/>
  <c r="H18" i="7"/>
  <c r="H206" i="6"/>
  <c r="H22" i="7"/>
  <c r="H207" i="6"/>
  <c r="S201" i="6"/>
  <c r="U201" i="6" s="1"/>
  <c r="W201" i="6" s="1"/>
  <c r="N201" i="6"/>
  <c r="O201" i="6" s="1"/>
  <c r="P201" i="6" s="1"/>
  <c r="Q201" i="6" s="1"/>
  <c r="S198" i="6"/>
  <c r="U198" i="6" s="1"/>
  <c r="W198" i="6" s="1"/>
  <c r="N198" i="6"/>
  <c r="O198" i="6" s="1"/>
  <c r="P198" i="6" s="1"/>
  <c r="Q198" i="6" s="1"/>
  <c r="H193" i="6"/>
  <c r="S185" i="6"/>
  <c r="U185" i="6" s="1"/>
  <c r="W185" i="6" s="1"/>
  <c r="N185" i="6"/>
  <c r="O185" i="6" s="1"/>
  <c r="P185" i="6" s="1"/>
  <c r="Q185" i="6" s="1"/>
  <c r="S182" i="6"/>
  <c r="U182" i="6" s="1"/>
  <c r="W182" i="6" s="1"/>
  <c r="N182" i="6"/>
  <c r="O182" i="6" s="1"/>
  <c r="P182" i="6" s="1"/>
  <c r="Q182" i="6" s="1"/>
  <c r="H177" i="6"/>
  <c r="S169" i="6"/>
  <c r="U169" i="6" s="1"/>
  <c r="W169" i="6" s="1"/>
  <c r="N169" i="6"/>
  <c r="O169" i="6" s="1"/>
  <c r="P169" i="6" s="1"/>
  <c r="Q169" i="6" s="1"/>
  <c r="S158" i="6"/>
  <c r="U158" i="6" s="1"/>
  <c r="W158" i="6" s="1"/>
  <c r="N158" i="6"/>
  <c r="O158" i="6" s="1"/>
  <c r="P158" i="6" s="1"/>
  <c r="Q158" i="6" s="1"/>
  <c r="S142" i="6"/>
  <c r="U142" i="6" s="1"/>
  <c r="W142" i="6" s="1"/>
  <c r="N142" i="6"/>
  <c r="O142" i="6" s="1"/>
  <c r="P142" i="6" s="1"/>
  <c r="Q142" i="6" s="1"/>
  <c r="S126" i="6"/>
  <c r="U126" i="6" s="1"/>
  <c r="W126" i="6" s="1"/>
  <c r="N126" i="6"/>
  <c r="O126" i="6" s="1"/>
  <c r="P126" i="6" s="1"/>
  <c r="Q126" i="6" s="1"/>
  <c r="N102" i="6"/>
  <c r="O102" i="6" s="1"/>
  <c r="P102" i="6" s="1"/>
  <c r="Q102" i="6" s="1"/>
  <c r="S102" i="6"/>
  <c r="U102" i="6" s="1"/>
  <c r="W102" i="6" s="1"/>
  <c r="S10" i="7"/>
  <c r="U10" i="7" s="1"/>
  <c r="W10" i="7" s="1"/>
  <c r="N10" i="7"/>
  <c r="O10" i="7" s="1"/>
  <c r="P10" i="7" s="1"/>
  <c r="Q10" i="7" s="1"/>
  <c r="H14" i="7"/>
  <c r="H203" i="6"/>
  <c r="H187" i="6"/>
  <c r="H171" i="6"/>
  <c r="H105" i="6"/>
  <c r="N98" i="6"/>
  <c r="O98" i="6" s="1"/>
  <c r="P98" i="6" s="1"/>
  <c r="Q98" i="6" s="1"/>
  <c r="S98" i="6"/>
  <c r="U98" i="6" s="1"/>
  <c r="W98" i="6" s="1"/>
  <c r="H160" i="6"/>
  <c r="H156" i="6"/>
  <c r="S148" i="6"/>
  <c r="U148" i="6" s="1"/>
  <c r="W148" i="6" s="1"/>
  <c r="N148" i="6"/>
  <c r="O148" i="6" s="1"/>
  <c r="P148" i="6" s="1"/>
  <c r="Q148" i="6" s="1"/>
  <c r="H140" i="6"/>
  <c r="S132" i="6"/>
  <c r="U132" i="6" s="1"/>
  <c r="W132" i="6" s="1"/>
  <c r="N132" i="6"/>
  <c r="O132" i="6" s="1"/>
  <c r="P132" i="6" s="1"/>
  <c r="Q132" i="6" s="1"/>
  <c r="H124" i="6"/>
  <c r="S116" i="6"/>
  <c r="U116" i="6" s="1"/>
  <c r="W116" i="6" s="1"/>
  <c r="N116" i="6"/>
  <c r="O116" i="6" s="1"/>
  <c r="P116" i="6" s="1"/>
  <c r="Q116" i="6" s="1"/>
  <c r="S108" i="6"/>
  <c r="U108" i="6" s="1"/>
  <c r="W108" i="6" s="1"/>
  <c r="N108" i="6"/>
  <c r="O108" i="6" s="1"/>
  <c r="P108" i="6" s="1"/>
  <c r="Q108" i="6" s="1"/>
  <c r="H107" i="6"/>
  <c r="S99" i="6"/>
  <c r="U99" i="6" s="1"/>
  <c r="W99" i="6" s="1"/>
  <c r="N99" i="6"/>
  <c r="O99" i="6" s="1"/>
  <c r="P99" i="6" s="1"/>
  <c r="Q99" i="6" s="1"/>
  <c r="S92" i="6"/>
  <c r="U92" i="6" s="1"/>
  <c r="W92" i="6" s="1"/>
  <c r="N92" i="6"/>
  <c r="O92" i="6" s="1"/>
  <c r="P92" i="6" s="1"/>
  <c r="Q92" i="6" s="1"/>
  <c r="N74" i="6"/>
  <c r="O74" i="6" s="1"/>
  <c r="P74" i="6" s="1"/>
  <c r="Q74" i="6" s="1"/>
  <c r="S74" i="6"/>
  <c r="U74" i="6" s="1"/>
  <c r="W74" i="6" s="1"/>
  <c r="N58" i="6"/>
  <c r="O58" i="6" s="1"/>
  <c r="P58" i="6" s="1"/>
  <c r="Q58" i="6" s="1"/>
  <c r="S58" i="6"/>
  <c r="U58" i="6" s="1"/>
  <c r="W58" i="6" s="1"/>
  <c r="N42" i="6"/>
  <c r="O42" i="6" s="1"/>
  <c r="P42" i="6" s="1"/>
  <c r="Q42" i="6" s="1"/>
  <c r="S42" i="6"/>
  <c r="U42" i="6" s="1"/>
  <c r="W42" i="6" s="1"/>
  <c r="H75" i="6"/>
  <c r="Y69" i="6"/>
  <c r="R69" i="6"/>
  <c r="S59" i="6"/>
  <c r="U59" i="6" s="1"/>
  <c r="W59" i="6" s="1"/>
  <c r="N59" i="6"/>
  <c r="O59" i="6" s="1"/>
  <c r="P59" i="6" s="1"/>
  <c r="Q59" i="6" s="1"/>
  <c r="H43" i="6"/>
  <c r="S32" i="6"/>
  <c r="U32" i="6" s="1"/>
  <c r="W32" i="6" s="1"/>
  <c r="N32" i="6"/>
  <c r="O32" i="6" s="1"/>
  <c r="P32" i="6" s="1"/>
  <c r="Q32" i="6" s="1"/>
  <c r="S77" i="5"/>
  <c r="U77" i="5" s="1"/>
  <c r="W77" i="5" s="1"/>
  <c r="N77" i="5"/>
  <c r="O77" i="5" s="1"/>
  <c r="P77" i="5" s="1"/>
  <c r="Q77" i="5" s="1"/>
  <c r="Y81" i="6"/>
  <c r="R81" i="6"/>
  <c r="S71" i="6"/>
  <c r="U71" i="6" s="1"/>
  <c r="W71" i="6" s="1"/>
  <c r="N71" i="6"/>
  <c r="O71" i="6" s="1"/>
  <c r="P71" i="6" s="1"/>
  <c r="Q71" i="6" s="1"/>
  <c r="H55" i="6"/>
  <c r="Y49" i="6"/>
  <c r="R49" i="6"/>
  <c r="S39" i="6"/>
  <c r="U39" i="6" s="1"/>
  <c r="W39" i="6" s="1"/>
  <c r="N39" i="6"/>
  <c r="O39" i="6" s="1"/>
  <c r="P39" i="6" s="1"/>
  <c r="Q39" i="6" s="1"/>
  <c r="S26" i="6"/>
  <c r="U26" i="6" s="1"/>
  <c r="W26" i="6" s="1"/>
  <c r="N26" i="6"/>
  <c r="O26" i="6" s="1"/>
  <c r="P26" i="6" s="1"/>
  <c r="Q26" i="6" s="1"/>
  <c r="S83" i="6"/>
  <c r="U83" i="6" s="1"/>
  <c r="W83" i="6" s="1"/>
  <c r="N83" i="6"/>
  <c r="O83" i="6" s="1"/>
  <c r="P83" i="6" s="1"/>
  <c r="Q83" i="6" s="1"/>
  <c r="H67" i="6"/>
  <c r="Y61" i="6"/>
  <c r="R61" i="6"/>
  <c r="S51" i="6"/>
  <c r="U51" i="6" s="1"/>
  <c r="W51" i="6" s="1"/>
  <c r="N51" i="6"/>
  <c r="O51" i="6" s="1"/>
  <c r="P51" i="6" s="1"/>
  <c r="Q51" i="6" s="1"/>
  <c r="H35" i="6"/>
  <c r="H26" i="6"/>
  <c r="H24" i="6"/>
  <c r="S79" i="6"/>
  <c r="U79" i="6" s="1"/>
  <c r="W79" i="6" s="1"/>
  <c r="N79" i="6"/>
  <c r="O79" i="6" s="1"/>
  <c r="P79" i="6" s="1"/>
  <c r="Q79" i="6" s="1"/>
  <c r="H63" i="6"/>
  <c r="Y57" i="6"/>
  <c r="R57" i="6"/>
  <c r="S47" i="6"/>
  <c r="U47" i="6" s="1"/>
  <c r="W47" i="6" s="1"/>
  <c r="N47" i="6"/>
  <c r="O47" i="6" s="1"/>
  <c r="P47" i="6" s="1"/>
  <c r="Q47" i="6" s="1"/>
  <c r="S31" i="6"/>
  <c r="U31" i="6" s="1"/>
  <c r="W31" i="6" s="1"/>
  <c r="N31" i="6"/>
  <c r="O31" i="6" s="1"/>
  <c r="P31" i="6" s="1"/>
  <c r="Q31" i="6" s="1"/>
  <c r="H27" i="6"/>
  <c r="N78" i="5"/>
  <c r="O78" i="5" s="1"/>
  <c r="P78" i="5" s="1"/>
  <c r="Q78" i="5" s="1"/>
  <c r="S78" i="5"/>
  <c r="U78" i="5" s="1"/>
  <c r="W78" i="5" s="1"/>
  <c r="S152" i="4"/>
  <c r="N152" i="4"/>
  <c r="O152" i="4" s="1"/>
  <c r="P152" i="4" s="1"/>
  <c r="Q152" i="4" s="1"/>
  <c r="S71" i="5"/>
  <c r="U71" i="5" s="1"/>
  <c r="W71" i="5" s="1"/>
  <c r="N71" i="5"/>
  <c r="O71" i="5" s="1"/>
  <c r="P71" i="5" s="1"/>
  <c r="Q71" i="5" s="1"/>
  <c r="N66" i="5"/>
  <c r="O66" i="5" s="1"/>
  <c r="P66" i="5" s="1"/>
  <c r="Q66" i="5" s="1"/>
  <c r="S66" i="5"/>
  <c r="U66" i="5" s="1"/>
  <c r="W66" i="5" s="1"/>
  <c r="H55" i="5"/>
  <c r="H50" i="5"/>
  <c r="Z48" i="5"/>
  <c r="Y48" i="5"/>
  <c r="R48" i="5"/>
  <c r="S39" i="5"/>
  <c r="U39" i="5" s="1"/>
  <c r="W39" i="5" s="1"/>
  <c r="N39" i="5"/>
  <c r="O39" i="5" s="1"/>
  <c r="P39" i="5" s="1"/>
  <c r="Q39" i="5" s="1"/>
  <c r="N34" i="5"/>
  <c r="O34" i="5" s="1"/>
  <c r="P34" i="5" s="1"/>
  <c r="Q34" i="5" s="1"/>
  <c r="S34" i="5"/>
  <c r="U34" i="5" s="1"/>
  <c r="W34" i="5" s="1"/>
  <c r="H23" i="5"/>
  <c r="H18" i="5"/>
  <c r="Z16" i="5"/>
  <c r="Y16" i="5"/>
  <c r="R16" i="5"/>
  <c r="N151" i="4"/>
  <c r="O151" i="4" s="1"/>
  <c r="P151" i="4" s="1"/>
  <c r="Q151" i="4" s="1"/>
  <c r="S151" i="4"/>
  <c r="S144" i="4"/>
  <c r="N144" i="4"/>
  <c r="O144" i="4" s="1"/>
  <c r="P144" i="4" s="1"/>
  <c r="Q144" i="4" s="1"/>
  <c r="Y10" i="5"/>
  <c r="R10" i="5"/>
  <c r="Z10" i="5"/>
  <c r="S20" i="6"/>
  <c r="U20" i="6" s="1"/>
  <c r="W20" i="6" s="1"/>
  <c r="N20" i="6"/>
  <c r="O20" i="6" s="1"/>
  <c r="P20" i="6" s="1"/>
  <c r="Q20" i="6" s="1"/>
  <c r="S18" i="6"/>
  <c r="U18" i="6" s="1"/>
  <c r="W18" i="6" s="1"/>
  <c r="N18" i="6"/>
  <c r="O18" i="6" s="1"/>
  <c r="P18" i="6" s="1"/>
  <c r="Q18" i="6" s="1"/>
  <c r="N74" i="5"/>
  <c r="O74" i="5" s="1"/>
  <c r="P74" i="5" s="1"/>
  <c r="Q74" i="5" s="1"/>
  <c r="S74" i="5"/>
  <c r="U74" i="5" s="1"/>
  <c r="W74" i="5" s="1"/>
  <c r="H63" i="5"/>
  <c r="H58" i="5"/>
  <c r="Z56" i="5"/>
  <c r="Y56" i="5"/>
  <c r="R56" i="5"/>
  <c r="S47" i="5"/>
  <c r="U47" i="5" s="1"/>
  <c r="W47" i="5" s="1"/>
  <c r="N47" i="5"/>
  <c r="O47" i="5" s="1"/>
  <c r="P47" i="5" s="1"/>
  <c r="Q47" i="5" s="1"/>
  <c r="N42" i="5"/>
  <c r="O42" i="5" s="1"/>
  <c r="P42" i="5" s="1"/>
  <c r="Q42" i="5" s="1"/>
  <c r="S42" i="5"/>
  <c r="U42" i="5" s="1"/>
  <c r="W42" i="5" s="1"/>
  <c r="H31" i="5"/>
  <c r="H26" i="5"/>
  <c r="Z24" i="5"/>
  <c r="Y24" i="5"/>
  <c r="R24" i="5"/>
  <c r="S15" i="5"/>
  <c r="U15" i="5" s="1"/>
  <c r="W15" i="5" s="1"/>
  <c r="N15" i="5"/>
  <c r="O15" i="5" s="1"/>
  <c r="P15" i="5" s="1"/>
  <c r="Q15" i="5" s="1"/>
  <c r="N133" i="4"/>
  <c r="O133" i="4" s="1"/>
  <c r="P133" i="4" s="1"/>
  <c r="Q133" i="4" s="1"/>
  <c r="S133" i="4"/>
  <c r="N126" i="4"/>
  <c r="O126" i="4" s="1"/>
  <c r="P126" i="4" s="1"/>
  <c r="Q126" i="4" s="1"/>
  <c r="S126" i="4"/>
  <c r="N118" i="4"/>
  <c r="O118" i="4" s="1"/>
  <c r="P118" i="4" s="1"/>
  <c r="Q118" i="4" s="1"/>
  <c r="S118" i="4"/>
  <c r="N110" i="4"/>
  <c r="O110" i="4" s="1"/>
  <c r="P110" i="4" s="1"/>
  <c r="Q110" i="4" s="1"/>
  <c r="S110" i="4"/>
  <c r="N102" i="4"/>
  <c r="O102" i="4" s="1"/>
  <c r="P102" i="4" s="1"/>
  <c r="Q102" i="4" s="1"/>
  <c r="S102" i="4"/>
  <c r="N94" i="4"/>
  <c r="O94" i="4" s="1"/>
  <c r="P94" i="4" s="1"/>
  <c r="Q94" i="4" s="1"/>
  <c r="S94" i="4"/>
  <c r="N86" i="4"/>
  <c r="O86" i="4" s="1"/>
  <c r="P86" i="4" s="1"/>
  <c r="Q86" i="4" s="1"/>
  <c r="S86" i="4"/>
  <c r="N78" i="4"/>
  <c r="O78" i="4" s="1"/>
  <c r="P78" i="4" s="1"/>
  <c r="Q78" i="4" s="1"/>
  <c r="S78" i="4"/>
  <c r="N70" i="4"/>
  <c r="O70" i="4" s="1"/>
  <c r="P70" i="4" s="1"/>
  <c r="Q70" i="4" s="1"/>
  <c r="S70" i="4"/>
  <c r="H14" i="6"/>
  <c r="S79" i="5"/>
  <c r="U79" i="5" s="1"/>
  <c r="W79" i="5" s="1"/>
  <c r="N79" i="5"/>
  <c r="O79" i="5" s="1"/>
  <c r="P79" i="5" s="1"/>
  <c r="Q79" i="5" s="1"/>
  <c r="S67" i="5"/>
  <c r="U67" i="5" s="1"/>
  <c r="W67" i="5" s="1"/>
  <c r="N67" i="5"/>
  <c r="O67" i="5" s="1"/>
  <c r="P67" i="5" s="1"/>
  <c r="Q67" i="5" s="1"/>
  <c r="N62" i="5"/>
  <c r="O62" i="5" s="1"/>
  <c r="P62" i="5" s="1"/>
  <c r="Q62" i="5" s="1"/>
  <c r="S62" i="5"/>
  <c r="U62" i="5" s="1"/>
  <c r="W62" i="5" s="1"/>
  <c r="H51" i="5"/>
  <c r="H46" i="5"/>
  <c r="Z44" i="5"/>
  <c r="Y44" i="5"/>
  <c r="R44" i="5"/>
  <c r="S35" i="5"/>
  <c r="U35" i="5" s="1"/>
  <c r="W35" i="5" s="1"/>
  <c r="N35" i="5"/>
  <c r="O35" i="5" s="1"/>
  <c r="P35" i="5" s="1"/>
  <c r="Q35" i="5" s="1"/>
  <c r="N30" i="5"/>
  <c r="O30" i="5" s="1"/>
  <c r="P30" i="5" s="1"/>
  <c r="Q30" i="5" s="1"/>
  <c r="S30" i="5"/>
  <c r="U30" i="5" s="1"/>
  <c r="W30" i="5" s="1"/>
  <c r="H19" i="5"/>
  <c r="H14" i="5"/>
  <c r="H61" i="4"/>
  <c r="H53" i="4"/>
  <c r="S42" i="4"/>
  <c r="N42" i="4"/>
  <c r="O42" i="4" s="1"/>
  <c r="P42" i="4" s="1"/>
  <c r="Q42" i="4" s="1"/>
  <c r="E75" i="3"/>
  <c r="E82" i="3" s="1"/>
  <c r="E76" i="3"/>
  <c r="S127" i="4"/>
  <c r="N127" i="4"/>
  <c r="O127" i="4" s="1"/>
  <c r="P127" i="4" s="1"/>
  <c r="Q127" i="4" s="1"/>
  <c r="S119" i="4"/>
  <c r="N119" i="4"/>
  <c r="O119" i="4" s="1"/>
  <c r="P119" i="4" s="1"/>
  <c r="Q119" i="4" s="1"/>
  <c r="S111" i="4"/>
  <c r="N111" i="4"/>
  <c r="O111" i="4" s="1"/>
  <c r="P111" i="4" s="1"/>
  <c r="Q111" i="4" s="1"/>
  <c r="S103" i="4"/>
  <c r="N103" i="4"/>
  <c r="O103" i="4" s="1"/>
  <c r="P103" i="4" s="1"/>
  <c r="Q103" i="4" s="1"/>
  <c r="S95" i="4"/>
  <c r="N95" i="4"/>
  <c r="O95" i="4" s="1"/>
  <c r="P95" i="4" s="1"/>
  <c r="Q95" i="4" s="1"/>
  <c r="S87" i="4"/>
  <c r="N87" i="4"/>
  <c r="O87" i="4" s="1"/>
  <c r="P87" i="4" s="1"/>
  <c r="Q87" i="4" s="1"/>
  <c r="S79" i="4"/>
  <c r="N79" i="4"/>
  <c r="O79" i="4" s="1"/>
  <c r="P79" i="4" s="1"/>
  <c r="Q79" i="4" s="1"/>
  <c r="S71" i="4"/>
  <c r="N71" i="4"/>
  <c r="O71" i="4" s="1"/>
  <c r="P71" i="4" s="1"/>
  <c r="Q71" i="4" s="1"/>
  <c r="H46" i="4"/>
  <c r="S38" i="4"/>
  <c r="N38" i="4"/>
  <c r="O38" i="4" s="1"/>
  <c r="P38" i="4" s="1"/>
  <c r="Q38" i="4" s="1"/>
  <c r="N27" i="4"/>
  <c r="O27" i="4" s="1"/>
  <c r="P27" i="4" s="1"/>
  <c r="Q27" i="4" s="1"/>
  <c r="S27" i="4"/>
  <c r="H131" i="4"/>
  <c r="H123" i="4"/>
  <c r="H115" i="4"/>
  <c r="H107" i="4"/>
  <c r="H99" i="4"/>
  <c r="H91" i="4"/>
  <c r="H83" i="4"/>
  <c r="H75" i="4"/>
  <c r="H67" i="4"/>
  <c r="S40" i="4"/>
  <c r="N40" i="4"/>
  <c r="O40" i="4" s="1"/>
  <c r="P40" i="4" s="1"/>
  <c r="Q40" i="4" s="1"/>
  <c r="S30" i="4"/>
  <c r="N30" i="4"/>
  <c r="O30" i="4" s="1"/>
  <c r="P30" i="4" s="1"/>
  <c r="Q30" i="4" s="1"/>
  <c r="H28" i="4"/>
  <c r="J17" i="8"/>
  <c r="K17" i="8" s="1"/>
  <c r="S191" i="7"/>
  <c r="U191" i="7" s="1"/>
  <c r="W191" i="7" s="1"/>
  <c r="N191" i="7"/>
  <c r="O191" i="7" s="1"/>
  <c r="P191" i="7" s="1"/>
  <c r="Q191" i="7" s="1"/>
  <c r="S190" i="7"/>
  <c r="U190" i="7" s="1"/>
  <c r="W190" i="7" s="1"/>
  <c r="N190" i="7"/>
  <c r="O190" i="7" s="1"/>
  <c r="P190" i="7" s="1"/>
  <c r="Q190" i="7" s="1"/>
  <c r="N169" i="7"/>
  <c r="O169" i="7" s="1"/>
  <c r="P169" i="7" s="1"/>
  <c r="Q169" i="7" s="1"/>
  <c r="S169" i="7"/>
  <c r="U169" i="7" s="1"/>
  <c r="W169" i="7" s="1"/>
  <c r="S181" i="7"/>
  <c r="U181" i="7" s="1"/>
  <c r="W181" i="7" s="1"/>
  <c r="N181" i="7"/>
  <c r="O181" i="7" s="1"/>
  <c r="P181" i="7" s="1"/>
  <c r="Q181" i="7" s="1"/>
  <c r="S157" i="7"/>
  <c r="U157" i="7" s="1"/>
  <c r="W157" i="7" s="1"/>
  <c r="N157" i="7"/>
  <c r="O157" i="7" s="1"/>
  <c r="P157" i="7" s="1"/>
  <c r="Q157" i="7" s="1"/>
  <c r="S145" i="7"/>
  <c r="U145" i="7" s="1"/>
  <c r="W145" i="7" s="1"/>
  <c r="N145" i="7"/>
  <c r="O145" i="7" s="1"/>
  <c r="P145" i="7" s="1"/>
  <c r="Q145" i="7" s="1"/>
  <c r="S109" i="7"/>
  <c r="U109" i="7" s="1"/>
  <c r="W109" i="7" s="1"/>
  <c r="N109" i="7"/>
  <c r="O109" i="7" s="1"/>
  <c r="P109" i="7" s="1"/>
  <c r="Q109" i="7" s="1"/>
  <c r="S99" i="7"/>
  <c r="U99" i="7" s="1"/>
  <c r="W99" i="7" s="1"/>
  <c r="N99" i="7"/>
  <c r="O99" i="7" s="1"/>
  <c r="P99" i="7" s="1"/>
  <c r="Q99" i="7" s="1"/>
  <c r="N71" i="7"/>
  <c r="O71" i="7" s="1"/>
  <c r="P71" i="7" s="1"/>
  <c r="Q71" i="7" s="1"/>
  <c r="S71" i="7"/>
  <c r="U71" i="7" s="1"/>
  <c r="W71" i="7" s="1"/>
  <c r="S59" i="7"/>
  <c r="U59" i="7" s="1"/>
  <c r="W59" i="7" s="1"/>
  <c r="N59" i="7"/>
  <c r="O59" i="7" s="1"/>
  <c r="P59" i="7" s="1"/>
  <c r="Q59" i="7" s="1"/>
  <c r="S98" i="7"/>
  <c r="U98" i="7" s="1"/>
  <c r="W98" i="7" s="1"/>
  <c r="N98" i="7"/>
  <c r="O98" i="7" s="1"/>
  <c r="P98" i="7" s="1"/>
  <c r="Q98" i="7" s="1"/>
  <c r="Y46" i="7"/>
  <c r="R46" i="7"/>
  <c r="Y34" i="7"/>
  <c r="R34" i="7"/>
  <c r="Y49" i="7"/>
  <c r="R49" i="7"/>
  <c r="Y37" i="7"/>
  <c r="R37" i="7"/>
  <c r="Y25" i="7"/>
  <c r="R25" i="7"/>
  <c r="N180" i="6"/>
  <c r="O180" i="6" s="1"/>
  <c r="P180" i="6" s="1"/>
  <c r="Q180" i="6" s="1"/>
  <c r="S180" i="6"/>
  <c r="U180" i="6" s="1"/>
  <c r="W180" i="6" s="1"/>
  <c r="S194" i="6"/>
  <c r="U194" i="6" s="1"/>
  <c r="W194" i="6" s="1"/>
  <c r="N194" i="6"/>
  <c r="O194" i="6" s="1"/>
  <c r="P194" i="6" s="1"/>
  <c r="Q194" i="6" s="1"/>
  <c r="S154" i="6"/>
  <c r="U154" i="6" s="1"/>
  <c r="W154" i="6" s="1"/>
  <c r="N154" i="6"/>
  <c r="O154" i="6" s="1"/>
  <c r="P154" i="6" s="1"/>
  <c r="Q154" i="6" s="1"/>
  <c r="S138" i="6"/>
  <c r="U138" i="6" s="1"/>
  <c r="W138" i="6" s="1"/>
  <c r="N138" i="6"/>
  <c r="O138" i="6" s="1"/>
  <c r="P138" i="6" s="1"/>
  <c r="Q138" i="6" s="1"/>
  <c r="S122" i="6"/>
  <c r="U122" i="6" s="1"/>
  <c r="W122" i="6" s="1"/>
  <c r="N122" i="6"/>
  <c r="O122" i="6" s="1"/>
  <c r="P122" i="6" s="1"/>
  <c r="Q122" i="6" s="1"/>
  <c r="Y183" i="6"/>
  <c r="R183" i="6"/>
  <c r="Y155" i="6"/>
  <c r="R155" i="6"/>
  <c r="N145" i="6"/>
  <c r="O145" i="6" s="1"/>
  <c r="P145" i="6" s="1"/>
  <c r="Q145" i="6" s="1"/>
  <c r="S145" i="6"/>
  <c r="U145" i="6" s="1"/>
  <c r="W145" i="6" s="1"/>
  <c r="Y131" i="6"/>
  <c r="R131" i="6"/>
  <c r="S136" i="6"/>
  <c r="U136" i="6" s="1"/>
  <c r="W136" i="6" s="1"/>
  <c r="N136" i="6"/>
  <c r="O136" i="6" s="1"/>
  <c r="P136" i="6" s="1"/>
  <c r="Q136" i="6" s="1"/>
  <c r="S104" i="6"/>
  <c r="U104" i="6" s="1"/>
  <c r="W104" i="6" s="1"/>
  <c r="N104" i="6"/>
  <c r="O104" i="6" s="1"/>
  <c r="P104" i="6" s="1"/>
  <c r="Q104" i="6" s="1"/>
  <c r="N62" i="6"/>
  <c r="O62" i="6" s="1"/>
  <c r="P62" i="6" s="1"/>
  <c r="Q62" i="6" s="1"/>
  <c r="S62" i="6"/>
  <c r="U62" i="6" s="1"/>
  <c r="W62" i="6" s="1"/>
  <c r="N85" i="6"/>
  <c r="O85" i="6" s="1"/>
  <c r="P85" i="6" s="1"/>
  <c r="Q85" i="6" s="1"/>
  <c r="S85" i="6"/>
  <c r="U85" i="6" s="1"/>
  <c r="W85" i="6" s="1"/>
  <c r="S38" i="6"/>
  <c r="U38" i="6" s="1"/>
  <c r="W38" i="6" s="1"/>
  <c r="N38" i="6"/>
  <c r="O38" i="6" s="1"/>
  <c r="P38" i="6" s="1"/>
  <c r="Q38" i="6" s="1"/>
  <c r="H9" i="6"/>
  <c r="R105" i="6"/>
  <c r="Y105" i="6"/>
  <c r="S76" i="6"/>
  <c r="U76" i="6" s="1"/>
  <c r="W76" i="6" s="1"/>
  <c r="N76" i="6"/>
  <c r="O76" i="6" s="1"/>
  <c r="P76" i="6" s="1"/>
  <c r="Q76" i="6" s="1"/>
  <c r="S72" i="6"/>
  <c r="U72" i="6" s="1"/>
  <c r="W72" i="6" s="1"/>
  <c r="N72" i="6"/>
  <c r="O72" i="6" s="1"/>
  <c r="P72" i="6" s="1"/>
  <c r="Q72" i="6" s="1"/>
  <c r="S40" i="6"/>
  <c r="U40" i="6" s="1"/>
  <c r="W40" i="6" s="1"/>
  <c r="N40" i="6"/>
  <c r="O40" i="6" s="1"/>
  <c r="P40" i="6" s="1"/>
  <c r="Q40" i="6" s="1"/>
  <c r="S65" i="5"/>
  <c r="U65" i="5" s="1"/>
  <c r="W65" i="5" s="1"/>
  <c r="N65" i="5"/>
  <c r="O65" i="5" s="1"/>
  <c r="P65" i="5" s="1"/>
  <c r="Q65" i="5" s="1"/>
  <c r="S41" i="5"/>
  <c r="U41" i="5" s="1"/>
  <c r="W41" i="5" s="1"/>
  <c r="N41" i="5"/>
  <c r="O41" i="5" s="1"/>
  <c r="P41" i="5" s="1"/>
  <c r="Q41" i="5" s="1"/>
  <c r="S17" i="5"/>
  <c r="U17" i="5" s="1"/>
  <c r="W17" i="5" s="1"/>
  <c r="N17" i="5"/>
  <c r="O17" i="5" s="1"/>
  <c r="P17" i="5" s="1"/>
  <c r="Q17" i="5" s="1"/>
  <c r="N70" i="5"/>
  <c r="O70" i="5" s="1"/>
  <c r="P70" i="5" s="1"/>
  <c r="Q70" i="5" s="1"/>
  <c r="S70" i="5"/>
  <c r="U70" i="5" s="1"/>
  <c r="W70" i="5" s="1"/>
  <c r="N38" i="5"/>
  <c r="O38" i="5" s="1"/>
  <c r="P38" i="5" s="1"/>
  <c r="Q38" i="5" s="1"/>
  <c r="S38" i="5"/>
  <c r="U38" i="5" s="1"/>
  <c r="W38" i="5" s="1"/>
  <c r="N128" i="4"/>
  <c r="O128" i="4" s="1"/>
  <c r="P128" i="4" s="1"/>
  <c r="Q128" i="4" s="1"/>
  <c r="S128" i="4"/>
  <c r="N104" i="4"/>
  <c r="O104" i="4" s="1"/>
  <c r="P104" i="4" s="1"/>
  <c r="Q104" i="4" s="1"/>
  <c r="S104" i="4"/>
  <c r="N64" i="4"/>
  <c r="O64" i="4" s="1"/>
  <c r="P64" i="4" s="1"/>
  <c r="Q64" i="4" s="1"/>
  <c r="S64" i="4"/>
  <c r="H134" i="4"/>
  <c r="S125" i="4"/>
  <c r="N125" i="4"/>
  <c r="O125" i="4" s="1"/>
  <c r="P125" i="4" s="1"/>
  <c r="Q125" i="4" s="1"/>
  <c r="S101" i="4"/>
  <c r="N101" i="4"/>
  <c r="O101" i="4" s="1"/>
  <c r="P101" i="4" s="1"/>
  <c r="Q101" i="4" s="1"/>
  <c r="S77" i="4"/>
  <c r="N77" i="4"/>
  <c r="O77" i="4" s="1"/>
  <c r="P77" i="4" s="1"/>
  <c r="Q77" i="4" s="1"/>
  <c r="R59" i="4"/>
  <c r="U59" i="4"/>
  <c r="G7" i="8"/>
  <c r="F7" i="8"/>
  <c r="H7" i="8"/>
  <c r="S193" i="7"/>
  <c r="U193" i="7" s="1"/>
  <c r="W193" i="7" s="1"/>
  <c r="N193" i="7"/>
  <c r="O193" i="7" s="1"/>
  <c r="P193" i="7" s="1"/>
  <c r="Q193" i="7" s="1"/>
  <c r="S179" i="7"/>
  <c r="U179" i="7" s="1"/>
  <c r="W179" i="7" s="1"/>
  <c r="N179" i="7"/>
  <c r="O179" i="7" s="1"/>
  <c r="P179" i="7" s="1"/>
  <c r="Q179" i="7" s="1"/>
  <c r="N170" i="7"/>
  <c r="O170" i="7" s="1"/>
  <c r="P170" i="7" s="1"/>
  <c r="Q170" i="7" s="1"/>
  <c r="S170" i="7"/>
  <c r="U170" i="7" s="1"/>
  <c r="W170" i="7" s="1"/>
  <c r="S178" i="7"/>
  <c r="U178" i="7" s="1"/>
  <c r="W178" i="7" s="1"/>
  <c r="N178" i="7"/>
  <c r="O178" i="7" s="1"/>
  <c r="P178" i="7" s="1"/>
  <c r="Q178" i="7" s="1"/>
  <c r="S189" i="7"/>
  <c r="U189" i="7" s="1"/>
  <c r="W189" i="7" s="1"/>
  <c r="N189" i="7"/>
  <c r="O189" i="7" s="1"/>
  <c r="P189" i="7" s="1"/>
  <c r="Q189" i="7" s="1"/>
  <c r="S185" i="7"/>
  <c r="U185" i="7" s="1"/>
  <c r="W185" i="7" s="1"/>
  <c r="N185" i="7"/>
  <c r="O185" i="7" s="1"/>
  <c r="P185" i="7" s="1"/>
  <c r="Q185" i="7" s="1"/>
  <c r="N172" i="7"/>
  <c r="O172" i="7" s="1"/>
  <c r="P172" i="7" s="1"/>
  <c r="Q172" i="7" s="1"/>
  <c r="S172" i="7"/>
  <c r="U172" i="7" s="1"/>
  <c r="W172" i="7" s="1"/>
  <c r="N167" i="7"/>
  <c r="O167" i="7" s="1"/>
  <c r="P167" i="7" s="1"/>
  <c r="Q167" i="7" s="1"/>
  <c r="S167" i="7"/>
  <c r="U167" i="7" s="1"/>
  <c r="W167" i="7" s="1"/>
  <c r="S163" i="7"/>
  <c r="U163" i="7" s="1"/>
  <c r="W163" i="7" s="1"/>
  <c r="N163" i="7"/>
  <c r="O163" i="7" s="1"/>
  <c r="P163" i="7" s="1"/>
  <c r="Q163" i="7" s="1"/>
  <c r="S159" i="7"/>
  <c r="U159" i="7" s="1"/>
  <c r="W159" i="7" s="1"/>
  <c r="N159" i="7"/>
  <c r="O159" i="7" s="1"/>
  <c r="P159" i="7" s="1"/>
  <c r="Q159" i="7" s="1"/>
  <c r="S155" i="7"/>
  <c r="U155" i="7" s="1"/>
  <c r="W155" i="7" s="1"/>
  <c r="N155" i="7"/>
  <c r="O155" i="7" s="1"/>
  <c r="P155" i="7" s="1"/>
  <c r="Q155" i="7" s="1"/>
  <c r="S151" i="7"/>
  <c r="U151" i="7" s="1"/>
  <c r="W151" i="7" s="1"/>
  <c r="N151" i="7"/>
  <c r="O151" i="7" s="1"/>
  <c r="P151" i="7" s="1"/>
  <c r="Q151" i="7" s="1"/>
  <c r="S147" i="7"/>
  <c r="U147" i="7" s="1"/>
  <c r="W147" i="7" s="1"/>
  <c r="N147" i="7"/>
  <c r="O147" i="7" s="1"/>
  <c r="P147" i="7" s="1"/>
  <c r="Q147" i="7" s="1"/>
  <c r="S143" i="7"/>
  <c r="U143" i="7" s="1"/>
  <c r="W143" i="7" s="1"/>
  <c r="N143" i="7"/>
  <c r="O143" i="7" s="1"/>
  <c r="P143" i="7" s="1"/>
  <c r="Q143" i="7" s="1"/>
  <c r="S134" i="7"/>
  <c r="U134" i="7" s="1"/>
  <c r="W134" i="7" s="1"/>
  <c r="N134" i="7"/>
  <c r="O134" i="7" s="1"/>
  <c r="P134" i="7" s="1"/>
  <c r="Q134" i="7" s="1"/>
  <c r="H132" i="7"/>
  <c r="H128" i="7"/>
  <c r="H124" i="7"/>
  <c r="H120" i="7"/>
  <c r="H116" i="7"/>
  <c r="H112" i="7"/>
  <c r="S138" i="7"/>
  <c r="U138" i="7" s="1"/>
  <c r="W138" i="7" s="1"/>
  <c r="N138" i="7"/>
  <c r="O138" i="7" s="1"/>
  <c r="P138" i="7" s="1"/>
  <c r="Q138" i="7" s="1"/>
  <c r="S108" i="7"/>
  <c r="U108" i="7" s="1"/>
  <c r="W108" i="7" s="1"/>
  <c r="N108" i="7"/>
  <c r="O108" i="7" s="1"/>
  <c r="P108" i="7" s="1"/>
  <c r="Q108" i="7" s="1"/>
  <c r="S107" i="7"/>
  <c r="U107" i="7" s="1"/>
  <c r="W107" i="7" s="1"/>
  <c r="N107" i="7"/>
  <c r="O107" i="7" s="1"/>
  <c r="P107" i="7" s="1"/>
  <c r="Q107" i="7" s="1"/>
  <c r="N73" i="7"/>
  <c r="O73" i="7" s="1"/>
  <c r="P73" i="7" s="1"/>
  <c r="Q73" i="7" s="1"/>
  <c r="S73" i="7"/>
  <c r="U73" i="7" s="1"/>
  <c r="W73" i="7" s="1"/>
  <c r="N69" i="7"/>
  <c r="O69" i="7" s="1"/>
  <c r="P69" i="7" s="1"/>
  <c r="Q69" i="7" s="1"/>
  <c r="S69" i="7"/>
  <c r="U69" i="7" s="1"/>
  <c r="W69" i="7" s="1"/>
  <c r="N65" i="7"/>
  <c r="O65" i="7" s="1"/>
  <c r="P65" i="7" s="1"/>
  <c r="Q65" i="7" s="1"/>
  <c r="S65" i="7"/>
  <c r="U65" i="7" s="1"/>
  <c r="W65" i="7" s="1"/>
  <c r="N61" i="7"/>
  <c r="O61" i="7" s="1"/>
  <c r="P61" i="7" s="1"/>
  <c r="Q61" i="7" s="1"/>
  <c r="S61" i="7"/>
  <c r="U61" i="7" s="1"/>
  <c r="W61" i="7" s="1"/>
  <c r="H58" i="7"/>
  <c r="H75" i="7"/>
  <c r="H71" i="7"/>
  <c r="H67" i="7"/>
  <c r="H63" i="7"/>
  <c r="S97" i="7"/>
  <c r="U97" i="7" s="1"/>
  <c r="W97" i="7" s="1"/>
  <c r="N97" i="7"/>
  <c r="O97" i="7" s="1"/>
  <c r="P97" i="7" s="1"/>
  <c r="Q97" i="7" s="1"/>
  <c r="Y56" i="7"/>
  <c r="R56" i="7"/>
  <c r="Y52" i="7"/>
  <c r="R52" i="7"/>
  <c r="Y48" i="7"/>
  <c r="R48" i="7"/>
  <c r="Y44" i="7"/>
  <c r="R44" i="7"/>
  <c r="Y40" i="7"/>
  <c r="R40" i="7"/>
  <c r="Y36" i="7"/>
  <c r="R36" i="7"/>
  <c r="Y32" i="7"/>
  <c r="R32" i="7"/>
  <c r="Y28" i="7"/>
  <c r="R28" i="7"/>
  <c r="Y24" i="7"/>
  <c r="R24" i="7"/>
  <c r="Y55" i="7"/>
  <c r="R55" i="7"/>
  <c r="Y51" i="7"/>
  <c r="R51" i="7"/>
  <c r="Y47" i="7"/>
  <c r="R47" i="7"/>
  <c r="Y43" i="7"/>
  <c r="R43" i="7"/>
  <c r="Y39" i="7"/>
  <c r="R39" i="7"/>
  <c r="Y35" i="7"/>
  <c r="R35" i="7"/>
  <c r="Y31" i="7"/>
  <c r="R31" i="7"/>
  <c r="Y27" i="7"/>
  <c r="R27" i="7"/>
  <c r="N204" i="6"/>
  <c r="O204" i="6" s="1"/>
  <c r="P204" i="6" s="1"/>
  <c r="Q204" i="6" s="1"/>
  <c r="S204" i="6"/>
  <c r="U204" i="6" s="1"/>
  <c r="W204" i="6" s="1"/>
  <c r="N188" i="6"/>
  <c r="O188" i="6" s="1"/>
  <c r="P188" i="6" s="1"/>
  <c r="Q188" i="6" s="1"/>
  <c r="S188" i="6"/>
  <c r="U188" i="6" s="1"/>
  <c r="W188" i="6" s="1"/>
  <c r="N172" i="6"/>
  <c r="O172" i="6" s="1"/>
  <c r="P172" i="6" s="1"/>
  <c r="Q172" i="6" s="1"/>
  <c r="S172" i="6"/>
  <c r="U172" i="6" s="1"/>
  <c r="W172" i="6" s="1"/>
  <c r="S202" i="6"/>
  <c r="U202" i="6" s="1"/>
  <c r="W202" i="6" s="1"/>
  <c r="N202" i="6"/>
  <c r="O202" i="6" s="1"/>
  <c r="P202" i="6" s="1"/>
  <c r="Q202" i="6" s="1"/>
  <c r="S189" i="6"/>
  <c r="U189" i="6" s="1"/>
  <c r="W189" i="6" s="1"/>
  <c r="N189" i="6"/>
  <c r="O189" i="6" s="1"/>
  <c r="P189" i="6" s="1"/>
  <c r="Q189" i="6" s="1"/>
  <c r="S186" i="6"/>
  <c r="U186" i="6" s="1"/>
  <c r="W186" i="6" s="1"/>
  <c r="N186" i="6"/>
  <c r="O186" i="6" s="1"/>
  <c r="P186" i="6" s="1"/>
  <c r="Q186" i="6" s="1"/>
  <c r="S173" i="6"/>
  <c r="U173" i="6" s="1"/>
  <c r="W173" i="6" s="1"/>
  <c r="N173" i="6"/>
  <c r="O173" i="6" s="1"/>
  <c r="P173" i="6" s="1"/>
  <c r="Q173" i="6" s="1"/>
  <c r="S170" i="6"/>
  <c r="U170" i="6" s="1"/>
  <c r="W170" i="6" s="1"/>
  <c r="N170" i="6"/>
  <c r="O170" i="6" s="1"/>
  <c r="P170" i="6" s="1"/>
  <c r="Q170" i="6" s="1"/>
  <c r="S162" i="6"/>
  <c r="U162" i="6" s="1"/>
  <c r="W162" i="6" s="1"/>
  <c r="N162" i="6"/>
  <c r="O162" i="6" s="1"/>
  <c r="P162" i="6" s="1"/>
  <c r="Q162" i="6" s="1"/>
  <c r="H151" i="6"/>
  <c r="S146" i="6"/>
  <c r="U146" i="6" s="1"/>
  <c r="W146" i="6" s="1"/>
  <c r="N146" i="6"/>
  <c r="O146" i="6" s="1"/>
  <c r="P146" i="6" s="1"/>
  <c r="Q146" i="6" s="1"/>
  <c r="H135" i="6"/>
  <c r="S130" i="6"/>
  <c r="U130" i="6" s="1"/>
  <c r="W130" i="6" s="1"/>
  <c r="N130" i="6"/>
  <c r="O130" i="6" s="1"/>
  <c r="P130" i="6" s="1"/>
  <c r="Q130" i="6" s="1"/>
  <c r="H119" i="6"/>
  <c r="S114" i="6"/>
  <c r="U114" i="6" s="1"/>
  <c r="W114" i="6" s="1"/>
  <c r="N114" i="6"/>
  <c r="O114" i="6" s="1"/>
  <c r="P114" i="6" s="1"/>
  <c r="Q114" i="6" s="1"/>
  <c r="Y203" i="6"/>
  <c r="R203" i="6"/>
  <c r="Y195" i="6"/>
  <c r="R195" i="6"/>
  <c r="Y187" i="6"/>
  <c r="R187" i="6"/>
  <c r="Y179" i="6"/>
  <c r="R179" i="6"/>
  <c r="Y171" i="6"/>
  <c r="R171" i="6"/>
  <c r="Y159" i="6"/>
  <c r="R159" i="6"/>
  <c r="N157" i="6"/>
  <c r="O157" i="6" s="1"/>
  <c r="P157" i="6" s="1"/>
  <c r="Q157" i="6" s="1"/>
  <c r="S157" i="6"/>
  <c r="U157" i="6" s="1"/>
  <c r="W157" i="6" s="1"/>
  <c r="Y151" i="6"/>
  <c r="R151" i="6"/>
  <c r="N149" i="6"/>
  <c r="O149" i="6" s="1"/>
  <c r="P149" i="6" s="1"/>
  <c r="Q149" i="6" s="1"/>
  <c r="S149" i="6"/>
  <c r="U149" i="6" s="1"/>
  <c r="W149" i="6" s="1"/>
  <c r="Y143" i="6"/>
  <c r="R143" i="6"/>
  <c r="N141" i="6"/>
  <c r="O141" i="6" s="1"/>
  <c r="P141" i="6" s="1"/>
  <c r="Q141" i="6" s="1"/>
  <c r="S141" i="6"/>
  <c r="U141" i="6" s="1"/>
  <c r="W141" i="6" s="1"/>
  <c r="Y135" i="6"/>
  <c r="R135" i="6"/>
  <c r="N133" i="6"/>
  <c r="O133" i="6" s="1"/>
  <c r="P133" i="6" s="1"/>
  <c r="Q133" i="6" s="1"/>
  <c r="S133" i="6"/>
  <c r="U133" i="6" s="1"/>
  <c r="W133" i="6" s="1"/>
  <c r="Y127" i="6"/>
  <c r="R127" i="6"/>
  <c r="N125" i="6"/>
  <c r="O125" i="6" s="1"/>
  <c r="P125" i="6" s="1"/>
  <c r="Q125" i="6" s="1"/>
  <c r="S125" i="6"/>
  <c r="U125" i="6" s="1"/>
  <c r="W125" i="6" s="1"/>
  <c r="Y119" i="6"/>
  <c r="R119" i="6"/>
  <c r="N117" i="6"/>
  <c r="O117" i="6" s="1"/>
  <c r="P117" i="6" s="1"/>
  <c r="Q117" i="6" s="1"/>
  <c r="S117" i="6"/>
  <c r="U117" i="6" s="1"/>
  <c r="W117" i="6" s="1"/>
  <c r="H109" i="6"/>
  <c r="S95" i="6"/>
  <c r="U95" i="6" s="1"/>
  <c r="W95" i="6" s="1"/>
  <c r="N95" i="6"/>
  <c r="O95" i="6" s="1"/>
  <c r="P95" i="6" s="1"/>
  <c r="Q95" i="6" s="1"/>
  <c r="S90" i="6"/>
  <c r="U90" i="6" s="1"/>
  <c r="W90" i="6" s="1"/>
  <c r="N90" i="6"/>
  <c r="O90" i="6" s="1"/>
  <c r="P90" i="6" s="1"/>
  <c r="Q90" i="6" s="1"/>
  <c r="S144" i="6"/>
  <c r="U144" i="6" s="1"/>
  <c r="W144" i="6" s="1"/>
  <c r="N144" i="6"/>
  <c r="O144" i="6" s="1"/>
  <c r="P144" i="6" s="1"/>
  <c r="Q144" i="6" s="1"/>
  <c r="S128" i="6"/>
  <c r="U128" i="6" s="1"/>
  <c r="W128" i="6" s="1"/>
  <c r="N128" i="6"/>
  <c r="O128" i="6" s="1"/>
  <c r="P128" i="6" s="1"/>
  <c r="Q128" i="6" s="1"/>
  <c r="S112" i="6"/>
  <c r="U112" i="6" s="1"/>
  <c r="W112" i="6" s="1"/>
  <c r="N112" i="6"/>
  <c r="O112" i="6" s="1"/>
  <c r="P112" i="6" s="1"/>
  <c r="Q112" i="6" s="1"/>
  <c r="S103" i="6"/>
  <c r="U103" i="6" s="1"/>
  <c r="W103" i="6" s="1"/>
  <c r="N103" i="6"/>
  <c r="O103" i="6" s="1"/>
  <c r="P103" i="6" s="1"/>
  <c r="Q103" i="6" s="1"/>
  <c r="N97" i="6"/>
  <c r="O97" i="6" s="1"/>
  <c r="P97" i="6" s="1"/>
  <c r="Q97" i="6" s="1"/>
  <c r="S97" i="6"/>
  <c r="U97" i="6" s="1"/>
  <c r="W97" i="6" s="1"/>
  <c r="Y84" i="6"/>
  <c r="R84" i="6"/>
  <c r="N70" i="6"/>
  <c r="O70" i="6" s="1"/>
  <c r="P70" i="6" s="1"/>
  <c r="Q70" i="6" s="1"/>
  <c r="S70" i="6"/>
  <c r="U70" i="6" s="1"/>
  <c r="W70" i="6" s="1"/>
  <c r="N54" i="6"/>
  <c r="O54" i="6" s="1"/>
  <c r="P54" i="6" s="1"/>
  <c r="Q54" i="6" s="1"/>
  <c r="S54" i="6"/>
  <c r="U54" i="6" s="1"/>
  <c r="W54" i="6" s="1"/>
  <c r="N94" i="6"/>
  <c r="O94" i="6" s="1"/>
  <c r="P94" i="6" s="1"/>
  <c r="Q94" i="6" s="1"/>
  <c r="S94" i="6"/>
  <c r="U94" i="6" s="1"/>
  <c r="W94" i="6" s="1"/>
  <c r="S88" i="6"/>
  <c r="U88" i="6" s="1"/>
  <c r="W88" i="6" s="1"/>
  <c r="N88" i="6"/>
  <c r="O88" i="6" s="1"/>
  <c r="P88" i="6" s="1"/>
  <c r="Q88" i="6" s="1"/>
  <c r="S68" i="6"/>
  <c r="U68" i="6" s="1"/>
  <c r="W68" i="6" s="1"/>
  <c r="N68" i="6"/>
  <c r="O68" i="6" s="1"/>
  <c r="P68" i="6" s="1"/>
  <c r="Q68" i="6" s="1"/>
  <c r="S16" i="6"/>
  <c r="U16" i="6" s="1"/>
  <c r="W16" i="6" s="1"/>
  <c r="N16" i="6"/>
  <c r="O16" i="6" s="1"/>
  <c r="P16" i="6" s="1"/>
  <c r="Q16" i="6" s="1"/>
  <c r="Y12" i="6"/>
  <c r="R12" i="6"/>
  <c r="R109" i="6"/>
  <c r="Y109" i="6"/>
  <c r="H86" i="6"/>
  <c r="S80" i="6"/>
  <c r="U80" i="6" s="1"/>
  <c r="W80" i="6" s="1"/>
  <c r="N80" i="6"/>
  <c r="O80" i="6" s="1"/>
  <c r="P80" i="6" s="1"/>
  <c r="Q80" i="6" s="1"/>
  <c r="S48" i="6"/>
  <c r="U48" i="6" s="1"/>
  <c r="W48" i="6" s="1"/>
  <c r="N48" i="6"/>
  <c r="O48" i="6" s="1"/>
  <c r="P48" i="6" s="1"/>
  <c r="Q48" i="6" s="1"/>
  <c r="S24" i="6"/>
  <c r="U24" i="6" s="1"/>
  <c r="W24" i="6" s="1"/>
  <c r="N24" i="6"/>
  <c r="O24" i="6" s="1"/>
  <c r="P24" i="6" s="1"/>
  <c r="Q24" i="6" s="1"/>
  <c r="S60" i="6"/>
  <c r="U60" i="6" s="1"/>
  <c r="W60" i="6" s="1"/>
  <c r="N60" i="6"/>
  <c r="O60" i="6" s="1"/>
  <c r="P60" i="6" s="1"/>
  <c r="Q60" i="6" s="1"/>
  <c r="S34" i="6"/>
  <c r="U34" i="6" s="1"/>
  <c r="W34" i="6" s="1"/>
  <c r="N34" i="6"/>
  <c r="O34" i="6" s="1"/>
  <c r="P34" i="6" s="1"/>
  <c r="Q34" i="6" s="1"/>
  <c r="R101" i="6"/>
  <c r="Y101" i="6"/>
  <c r="S56" i="6"/>
  <c r="U56" i="6" s="1"/>
  <c r="W56" i="6" s="1"/>
  <c r="N56" i="6"/>
  <c r="O56" i="6" s="1"/>
  <c r="P56" i="6" s="1"/>
  <c r="Q56" i="6" s="1"/>
  <c r="Y36" i="6"/>
  <c r="R36" i="6"/>
  <c r="H30" i="6"/>
  <c r="N11" i="6"/>
  <c r="O11" i="6" s="1"/>
  <c r="P11" i="6" s="1"/>
  <c r="Q11" i="6" s="1"/>
  <c r="S11" i="6"/>
  <c r="U11" i="6" s="1"/>
  <c r="W11" i="6" s="1"/>
  <c r="H78" i="5"/>
  <c r="S69" i="5"/>
  <c r="U69" i="5" s="1"/>
  <c r="W69" i="5" s="1"/>
  <c r="N69" i="5"/>
  <c r="O69" i="5" s="1"/>
  <c r="P69" i="5" s="1"/>
  <c r="Q69" i="5" s="1"/>
  <c r="S61" i="5"/>
  <c r="U61" i="5" s="1"/>
  <c r="W61" i="5" s="1"/>
  <c r="N61" i="5"/>
  <c r="O61" i="5" s="1"/>
  <c r="P61" i="5" s="1"/>
  <c r="Q61" i="5" s="1"/>
  <c r="S53" i="5"/>
  <c r="U53" i="5" s="1"/>
  <c r="W53" i="5" s="1"/>
  <c r="N53" i="5"/>
  <c r="O53" i="5" s="1"/>
  <c r="P53" i="5" s="1"/>
  <c r="Q53" i="5" s="1"/>
  <c r="S45" i="5"/>
  <c r="U45" i="5" s="1"/>
  <c r="W45" i="5" s="1"/>
  <c r="N45" i="5"/>
  <c r="O45" i="5" s="1"/>
  <c r="P45" i="5" s="1"/>
  <c r="Q45" i="5" s="1"/>
  <c r="S37" i="5"/>
  <c r="U37" i="5" s="1"/>
  <c r="W37" i="5" s="1"/>
  <c r="N37" i="5"/>
  <c r="O37" i="5" s="1"/>
  <c r="P37" i="5" s="1"/>
  <c r="Q37" i="5" s="1"/>
  <c r="S29" i="5"/>
  <c r="U29" i="5" s="1"/>
  <c r="W29" i="5" s="1"/>
  <c r="N29" i="5"/>
  <c r="O29" i="5" s="1"/>
  <c r="P29" i="5" s="1"/>
  <c r="Q29" i="5" s="1"/>
  <c r="S21" i="5"/>
  <c r="U21" i="5" s="1"/>
  <c r="W21" i="5" s="1"/>
  <c r="N21" i="5"/>
  <c r="O21" i="5" s="1"/>
  <c r="P21" i="5" s="1"/>
  <c r="Q21" i="5" s="1"/>
  <c r="S13" i="5"/>
  <c r="U13" i="5" s="1"/>
  <c r="W13" i="5" s="1"/>
  <c r="N13" i="5"/>
  <c r="O13" i="5" s="1"/>
  <c r="P13" i="5" s="1"/>
  <c r="Q13" i="5" s="1"/>
  <c r="S150" i="4"/>
  <c r="N150" i="4"/>
  <c r="O150" i="4" s="1"/>
  <c r="P150" i="4" s="1"/>
  <c r="Q150" i="4" s="1"/>
  <c r="Z68" i="5"/>
  <c r="Y68" i="5"/>
  <c r="R68" i="5"/>
  <c r="S59" i="5"/>
  <c r="U59" i="5" s="1"/>
  <c r="W59" i="5" s="1"/>
  <c r="N59" i="5"/>
  <c r="O59" i="5" s="1"/>
  <c r="P59" i="5" s="1"/>
  <c r="Q59" i="5" s="1"/>
  <c r="N54" i="5"/>
  <c r="O54" i="5" s="1"/>
  <c r="P54" i="5" s="1"/>
  <c r="Q54" i="5" s="1"/>
  <c r="S54" i="5"/>
  <c r="U54" i="5" s="1"/>
  <c r="W54" i="5" s="1"/>
  <c r="Z36" i="5"/>
  <c r="Y36" i="5"/>
  <c r="R36" i="5"/>
  <c r="S27" i="5"/>
  <c r="U27" i="5" s="1"/>
  <c r="W27" i="5" s="1"/>
  <c r="N27" i="5"/>
  <c r="O27" i="5" s="1"/>
  <c r="P27" i="5" s="1"/>
  <c r="Q27" i="5" s="1"/>
  <c r="N22" i="5"/>
  <c r="O22" i="5" s="1"/>
  <c r="P22" i="5" s="1"/>
  <c r="Q22" i="5" s="1"/>
  <c r="S22" i="5"/>
  <c r="U22" i="5" s="1"/>
  <c r="W22" i="5" s="1"/>
  <c r="N11" i="5"/>
  <c r="O11" i="5" s="1"/>
  <c r="P11" i="5" s="1"/>
  <c r="Q11" i="5" s="1"/>
  <c r="S11" i="5"/>
  <c r="U11" i="5" s="1"/>
  <c r="W11" i="5" s="1"/>
  <c r="H18" i="6"/>
  <c r="N153" i="4"/>
  <c r="O153" i="4" s="1"/>
  <c r="P153" i="4" s="1"/>
  <c r="Q153" i="4" s="1"/>
  <c r="S153" i="4"/>
  <c r="N145" i="4"/>
  <c r="O145" i="4" s="1"/>
  <c r="P145" i="4" s="1"/>
  <c r="Q145" i="4" s="1"/>
  <c r="S145" i="4"/>
  <c r="N141" i="4"/>
  <c r="O141" i="4" s="1"/>
  <c r="P141" i="4" s="1"/>
  <c r="Q141" i="4" s="1"/>
  <c r="S141" i="4"/>
  <c r="N124" i="4"/>
  <c r="O124" i="4" s="1"/>
  <c r="P124" i="4" s="1"/>
  <c r="Q124" i="4" s="1"/>
  <c r="S124" i="4"/>
  <c r="N116" i="4"/>
  <c r="O116" i="4" s="1"/>
  <c r="P116" i="4" s="1"/>
  <c r="Q116" i="4" s="1"/>
  <c r="S116" i="4"/>
  <c r="N108" i="4"/>
  <c r="O108" i="4" s="1"/>
  <c r="P108" i="4" s="1"/>
  <c r="Q108" i="4" s="1"/>
  <c r="S108" i="4"/>
  <c r="N100" i="4"/>
  <c r="O100" i="4" s="1"/>
  <c r="P100" i="4" s="1"/>
  <c r="Q100" i="4" s="1"/>
  <c r="S100" i="4"/>
  <c r="N92" i="4"/>
  <c r="O92" i="4" s="1"/>
  <c r="P92" i="4" s="1"/>
  <c r="Q92" i="4" s="1"/>
  <c r="S92" i="4"/>
  <c r="N84" i="4"/>
  <c r="O84" i="4" s="1"/>
  <c r="P84" i="4" s="1"/>
  <c r="Q84" i="4" s="1"/>
  <c r="S84" i="4"/>
  <c r="N76" i="4"/>
  <c r="O76" i="4" s="1"/>
  <c r="P76" i="4" s="1"/>
  <c r="Q76" i="4" s="1"/>
  <c r="S76" i="4"/>
  <c r="N68" i="4"/>
  <c r="O68" i="4" s="1"/>
  <c r="P68" i="4" s="1"/>
  <c r="Q68" i="4" s="1"/>
  <c r="S68" i="4"/>
  <c r="S34" i="4"/>
  <c r="N34" i="4"/>
  <c r="O34" i="4" s="1"/>
  <c r="P34" i="4" s="1"/>
  <c r="Q34" i="4" s="1"/>
  <c r="S129" i="4"/>
  <c r="N129" i="4"/>
  <c r="O129" i="4" s="1"/>
  <c r="P129" i="4" s="1"/>
  <c r="Q129" i="4" s="1"/>
  <c r="S121" i="4"/>
  <c r="N121" i="4"/>
  <c r="O121" i="4" s="1"/>
  <c r="P121" i="4" s="1"/>
  <c r="Q121" i="4" s="1"/>
  <c r="S113" i="4"/>
  <c r="N113" i="4"/>
  <c r="O113" i="4" s="1"/>
  <c r="P113" i="4" s="1"/>
  <c r="Q113" i="4" s="1"/>
  <c r="S105" i="4"/>
  <c r="N105" i="4"/>
  <c r="O105" i="4" s="1"/>
  <c r="P105" i="4" s="1"/>
  <c r="Q105" i="4" s="1"/>
  <c r="S97" i="4"/>
  <c r="N97" i="4"/>
  <c r="O97" i="4" s="1"/>
  <c r="P97" i="4" s="1"/>
  <c r="Q97" i="4" s="1"/>
  <c r="S89" i="4"/>
  <c r="N89" i="4"/>
  <c r="O89" i="4" s="1"/>
  <c r="P89" i="4" s="1"/>
  <c r="Q89" i="4" s="1"/>
  <c r="S81" i="4"/>
  <c r="N81" i="4"/>
  <c r="O81" i="4" s="1"/>
  <c r="P81" i="4" s="1"/>
  <c r="Q81" i="4" s="1"/>
  <c r="S73" i="4"/>
  <c r="N73" i="4"/>
  <c r="O73" i="4" s="1"/>
  <c r="P73" i="4" s="1"/>
  <c r="Q73" i="4" s="1"/>
  <c r="S65" i="4"/>
  <c r="N65" i="4"/>
  <c r="O65" i="4" s="1"/>
  <c r="P65" i="4" s="1"/>
  <c r="Q65" i="4" s="1"/>
  <c r="N39" i="4"/>
  <c r="O39" i="4" s="1"/>
  <c r="P39" i="4" s="1"/>
  <c r="Q39" i="4" s="1"/>
  <c r="S39" i="4"/>
  <c r="R61" i="4"/>
  <c r="U61" i="4"/>
  <c r="S60" i="4"/>
  <c r="N60" i="4"/>
  <c r="O60" i="4" s="1"/>
  <c r="P60" i="4" s="1"/>
  <c r="Q60" i="4" s="1"/>
  <c r="R57" i="4"/>
  <c r="U57" i="4"/>
  <c r="S56" i="4"/>
  <c r="N56" i="4"/>
  <c r="O56" i="4" s="1"/>
  <c r="P56" i="4" s="1"/>
  <c r="Q56" i="4" s="1"/>
  <c r="R53" i="4"/>
  <c r="U53" i="4"/>
  <c r="S52" i="4"/>
  <c r="N52" i="4"/>
  <c r="O52" i="4" s="1"/>
  <c r="P52" i="4" s="1"/>
  <c r="Q52" i="4" s="1"/>
  <c r="R49" i="4"/>
  <c r="U49" i="4"/>
  <c r="S48" i="4"/>
  <c r="N48" i="4"/>
  <c r="O48" i="4" s="1"/>
  <c r="P48" i="4" s="1"/>
  <c r="Q48" i="4" s="1"/>
  <c r="H32" i="4"/>
  <c r="U20" i="4"/>
  <c r="R20" i="4"/>
  <c r="U14" i="4"/>
  <c r="R14" i="4"/>
  <c r="U22" i="4"/>
  <c r="R22" i="4"/>
  <c r="U12" i="4"/>
  <c r="R12" i="4"/>
  <c r="N25" i="4"/>
  <c r="O25" i="4" s="1"/>
  <c r="P25" i="4" s="1"/>
  <c r="Q25" i="4" s="1"/>
  <c r="S25" i="4"/>
  <c r="N19" i="4"/>
  <c r="O19" i="4" s="1"/>
  <c r="P19" i="4" s="1"/>
  <c r="Q19" i="4" s="1"/>
  <c r="S19" i="4"/>
  <c r="N13" i="4"/>
  <c r="O13" i="4" s="1"/>
  <c r="P13" i="4" s="1"/>
  <c r="Q13" i="4" s="1"/>
  <c r="S13" i="4"/>
  <c r="N9" i="4"/>
  <c r="O9" i="4" s="1"/>
  <c r="P9" i="4" s="1"/>
  <c r="Q9" i="4" s="1"/>
  <c r="S9" i="4"/>
  <c r="N23" i="4"/>
  <c r="O23" i="4" s="1"/>
  <c r="P23" i="4" s="1"/>
  <c r="Q23" i="4" s="1"/>
  <c r="S23" i="4"/>
  <c r="N21" i="4"/>
  <c r="O21" i="4" s="1"/>
  <c r="P21" i="4" s="1"/>
  <c r="Q21" i="4" s="1"/>
  <c r="S21" i="4"/>
  <c r="N15" i="4"/>
  <c r="O15" i="4" s="1"/>
  <c r="P15" i="4" s="1"/>
  <c r="Q15" i="4" s="1"/>
  <c r="S15" i="4"/>
  <c r="N11" i="4"/>
  <c r="O11" i="4" s="1"/>
  <c r="P11" i="4" s="1"/>
  <c r="Q11" i="4" s="1"/>
  <c r="S11" i="4"/>
  <c r="U3" i="12"/>
  <c r="W3" i="12" s="1"/>
  <c r="Y3" i="12" s="1"/>
  <c r="P3" i="12"/>
  <c r="Q3" i="12" s="1"/>
  <c r="R3" i="12" s="1"/>
  <c r="S3" i="12" s="1"/>
  <c r="G9" i="8"/>
  <c r="F9" i="8"/>
  <c r="H9" i="8"/>
  <c r="S192" i="7"/>
  <c r="U192" i="7" s="1"/>
  <c r="W192" i="7" s="1"/>
  <c r="N192" i="7"/>
  <c r="O192" i="7" s="1"/>
  <c r="P192" i="7" s="1"/>
  <c r="Q192" i="7" s="1"/>
  <c r="S187" i="7"/>
  <c r="U187" i="7" s="1"/>
  <c r="W187" i="7" s="1"/>
  <c r="N187" i="7"/>
  <c r="O187" i="7" s="1"/>
  <c r="P187" i="7" s="1"/>
  <c r="Q187" i="7" s="1"/>
  <c r="S182" i="7"/>
  <c r="U182" i="7" s="1"/>
  <c r="W182" i="7" s="1"/>
  <c r="N182" i="7"/>
  <c r="O182" i="7" s="1"/>
  <c r="P182" i="7" s="1"/>
  <c r="Q182" i="7" s="1"/>
  <c r="N173" i="7"/>
  <c r="O173" i="7" s="1"/>
  <c r="P173" i="7" s="1"/>
  <c r="Q173" i="7" s="1"/>
  <c r="S173" i="7"/>
  <c r="U173" i="7" s="1"/>
  <c r="W173" i="7" s="1"/>
  <c r="S165" i="7"/>
  <c r="U165" i="7" s="1"/>
  <c r="W165" i="7" s="1"/>
  <c r="N165" i="7"/>
  <c r="O165" i="7" s="1"/>
  <c r="P165" i="7" s="1"/>
  <c r="Q165" i="7" s="1"/>
  <c r="S153" i="7"/>
  <c r="U153" i="7" s="1"/>
  <c r="W153" i="7" s="1"/>
  <c r="N153" i="7"/>
  <c r="O153" i="7" s="1"/>
  <c r="P153" i="7" s="1"/>
  <c r="Q153" i="7" s="1"/>
  <c r="S136" i="7"/>
  <c r="U136" i="7" s="1"/>
  <c r="W136" i="7" s="1"/>
  <c r="N136" i="7"/>
  <c r="O136" i="7" s="1"/>
  <c r="P136" i="7" s="1"/>
  <c r="Q136" i="7" s="1"/>
  <c r="S106" i="7"/>
  <c r="U106" i="7" s="1"/>
  <c r="W106" i="7" s="1"/>
  <c r="N106" i="7"/>
  <c r="O106" i="7" s="1"/>
  <c r="P106" i="7" s="1"/>
  <c r="Q106" i="7" s="1"/>
  <c r="N75" i="7"/>
  <c r="O75" i="7" s="1"/>
  <c r="P75" i="7" s="1"/>
  <c r="Q75" i="7" s="1"/>
  <c r="S75" i="7"/>
  <c r="U75" i="7" s="1"/>
  <c r="W75" i="7" s="1"/>
  <c r="N63" i="7"/>
  <c r="O63" i="7" s="1"/>
  <c r="P63" i="7" s="1"/>
  <c r="Q63" i="7" s="1"/>
  <c r="S63" i="7"/>
  <c r="U63" i="7" s="1"/>
  <c r="W63" i="7" s="1"/>
  <c r="Y54" i="7"/>
  <c r="R54" i="7"/>
  <c r="Y42" i="7"/>
  <c r="R42" i="7"/>
  <c r="Y30" i="7"/>
  <c r="R30" i="7"/>
  <c r="Y57" i="7"/>
  <c r="R57" i="7"/>
  <c r="Y45" i="7"/>
  <c r="R45" i="7"/>
  <c r="Y33" i="7"/>
  <c r="R33" i="7"/>
  <c r="N196" i="6"/>
  <c r="O196" i="6" s="1"/>
  <c r="P196" i="6" s="1"/>
  <c r="Q196" i="6" s="1"/>
  <c r="S196" i="6"/>
  <c r="U196" i="6" s="1"/>
  <c r="W196" i="6" s="1"/>
  <c r="S178" i="6"/>
  <c r="U178" i="6" s="1"/>
  <c r="W178" i="6" s="1"/>
  <c r="N178" i="6"/>
  <c r="O178" i="6" s="1"/>
  <c r="P178" i="6" s="1"/>
  <c r="Q178" i="6" s="1"/>
  <c r="Y199" i="6"/>
  <c r="R199" i="6"/>
  <c r="Y175" i="6"/>
  <c r="R175" i="6"/>
  <c r="Y163" i="6"/>
  <c r="R163" i="6"/>
  <c r="N153" i="6"/>
  <c r="O153" i="6" s="1"/>
  <c r="P153" i="6" s="1"/>
  <c r="Q153" i="6" s="1"/>
  <c r="S153" i="6"/>
  <c r="U153" i="6" s="1"/>
  <c r="W153" i="6" s="1"/>
  <c r="Y139" i="6"/>
  <c r="R139" i="6"/>
  <c r="N129" i="6"/>
  <c r="O129" i="6" s="1"/>
  <c r="P129" i="6" s="1"/>
  <c r="Q129" i="6" s="1"/>
  <c r="S129" i="6"/>
  <c r="U129" i="6" s="1"/>
  <c r="W129" i="6" s="1"/>
  <c r="Y115" i="6"/>
  <c r="R115" i="6"/>
  <c r="S152" i="6"/>
  <c r="U152" i="6" s="1"/>
  <c r="W152" i="6" s="1"/>
  <c r="N152" i="6"/>
  <c r="O152" i="6" s="1"/>
  <c r="P152" i="6" s="1"/>
  <c r="Q152" i="6" s="1"/>
  <c r="S120" i="6"/>
  <c r="U120" i="6" s="1"/>
  <c r="W120" i="6" s="1"/>
  <c r="N120" i="6"/>
  <c r="O120" i="6" s="1"/>
  <c r="P120" i="6" s="1"/>
  <c r="Q120" i="6" s="1"/>
  <c r="S111" i="6"/>
  <c r="U111" i="6" s="1"/>
  <c r="W111" i="6" s="1"/>
  <c r="N111" i="6"/>
  <c r="O111" i="6" s="1"/>
  <c r="P111" i="6" s="1"/>
  <c r="Q111" i="6" s="1"/>
  <c r="S73" i="5"/>
  <c r="U73" i="5" s="1"/>
  <c r="W73" i="5" s="1"/>
  <c r="N73" i="5"/>
  <c r="O73" i="5" s="1"/>
  <c r="P73" i="5" s="1"/>
  <c r="Q73" i="5" s="1"/>
  <c r="S57" i="5"/>
  <c r="U57" i="5" s="1"/>
  <c r="W57" i="5" s="1"/>
  <c r="N57" i="5"/>
  <c r="O57" i="5" s="1"/>
  <c r="P57" i="5" s="1"/>
  <c r="Q57" i="5" s="1"/>
  <c r="S33" i="5"/>
  <c r="U33" i="5" s="1"/>
  <c r="W33" i="5" s="1"/>
  <c r="N33" i="5"/>
  <c r="O33" i="5" s="1"/>
  <c r="P33" i="5" s="1"/>
  <c r="Q33" i="5" s="1"/>
  <c r="S146" i="4"/>
  <c r="N146" i="4"/>
  <c r="O146" i="4" s="1"/>
  <c r="P146" i="4" s="1"/>
  <c r="Q146" i="4" s="1"/>
  <c r="S75" i="5"/>
  <c r="U75" i="5" s="1"/>
  <c r="W75" i="5" s="1"/>
  <c r="N75" i="5"/>
  <c r="O75" i="5" s="1"/>
  <c r="P75" i="5" s="1"/>
  <c r="Q75" i="5" s="1"/>
  <c r="S43" i="5"/>
  <c r="U43" i="5" s="1"/>
  <c r="W43" i="5" s="1"/>
  <c r="N43" i="5"/>
  <c r="O43" i="5" s="1"/>
  <c r="P43" i="5" s="1"/>
  <c r="Q43" i="5" s="1"/>
  <c r="S138" i="4"/>
  <c r="N138" i="4"/>
  <c r="O138" i="4" s="1"/>
  <c r="P138" i="4" s="1"/>
  <c r="Q138" i="4" s="1"/>
  <c r="N112" i="4"/>
  <c r="O112" i="4" s="1"/>
  <c r="P112" i="4" s="1"/>
  <c r="Q112" i="4" s="1"/>
  <c r="S112" i="4"/>
  <c r="N88" i="4"/>
  <c r="O88" i="4" s="1"/>
  <c r="P88" i="4" s="1"/>
  <c r="Q88" i="4" s="1"/>
  <c r="S88" i="4"/>
  <c r="N72" i="4"/>
  <c r="O72" i="4" s="1"/>
  <c r="P72" i="4" s="1"/>
  <c r="Q72" i="4" s="1"/>
  <c r="S72" i="4"/>
  <c r="S12" i="5"/>
  <c r="U12" i="5" s="1"/>
  <c r="W12" i="5" s="1"/>
  <c r="N12" i="5"/>
  <c r="O12" i="5" s="1"/>
  <c r="P12" i="5" s="1"/>
  <c r="Q12" i="5" s="1"/>
  <c r="S117" i="4"/>
  <c r="N117" i="4"/>
  <c r="O117" i="4" s="1"/>
  <c r="P117" i="4" s="1"/>
  <c r="Q117" i="4" s="1"/>
  <c r="S93" i="4"/>
  <c r="N93" i="4"/>
  <c r="O93" i="4" s="1"/>
  <c r="P93" i="4" s="1"/>
  <c r="Q93" i="4" s="1"/>
  <c r="S69" i="4"/>
  <c r="N69" i="4"/>
  <c r="O69" i="4" s="1"/>
  <c r="P69" i="4" s="1"/>
  <c r="Q69" i="4" s="1"/>
  <c r="N37" i="4"/>
  <c r="O37" i="4" s="1"/>
  <c r="P37" i="4" s="1"/>
  <c r="Q37" i="4" s="1"/>
  <c r="S37" i="4"/>
  <c r="R63" i="4"/>
  <c r="U63" i="4"/>
  <c r="S58" i="4"/>
  <c r="N58" i="4"/>
  <c r="O58" i="4" s="1"/>
  <c r="P58" i="4" s="1"/>
  <c r="Q58" i="4" s="1"/>
  <c r="S54" i="4"/>
  <c r="N54" i="4"/>
  <c r="O54" i="4" s="1"/>
  <c r="P54" i="4" s="1"/>
  <c r="Q54" i="4" s="1"/>
  <c r="I22" i="8"/>
  <c r="H22" i="8"/>
  <c r="F22" i="8"/>
  <c r="G22" i="8"/>
  <c r="P6" i="12"/>
  <c r="Q6" i="12" s="1"/>
  <c r="R6" i="12" s="1"/>
  <c r="S6" i="12" s="1"/>
  <c r="U6" i="12"/>
  <c r="W6" i="12" s="1"/>
  <c r="Y6" i="12" s="1"/>
  <c r="J11" i="8"/>
  <c r="K11" i="8" s="1"/>
  <c r="N174" i="7"/>
  <c r="O174" i="7" s="1"/>
  <c r="P174" i="7" s="1"/>
  <c r="Q174" i="7" s="1"/>
  <c r="S174" i="7"/>
  <c r="U174" i="7" s="1"/>
  <c r="W174" i="7" s="1"/>
  <c r="G10" i="8"/>
  <c r="F10" i="8"/>
  <c r="I10" i="8"/>
  <c r="H10" i="8"/>
  <c r="G6" i="8"/>
  <c r="F6" i="8"/>
  <c r="H6" i="8"/>
  <c r="N176" i="7"/>
  <c r="O176" i="7" s="1"/>
  <c r="P176" i="7" s="1"/>
  <c r="Q176" i="7" s="1"/>
  <c r="S176" i="7"/>
  <c r="U176" i="7" s="1"/>
  <c r="W176" i="7" s="1"/>
  <c r="H188" i="7"/>
  <c r="H184" i="7"/>
  <c r="S180" i="7"/>
  <c r="U180" i="7" s="1"/>
  <c r="W180" i="7" s="1"/>
  <c r="N180" i="7"/>
  <c r="O180" i="7" s="1"/>
  <c r="P180" i="7" s="1"/>
  <c r="Q180" i="7" s="1"/>
  <c r="N171" i="7"/>
  <c r="O171" i="7" s="1"/>
  <c r="P171" i="7" s="1"/>
  <c r="Q171" i="7" s="1"/>
  <c r="S171" i="7"/>
  <c r="U171" i="7" s="1"/>
  <c r="W171" i="7" s="1"/>
  <c r="N166" i="7"/>
  <c r="O166" i="7" s="1"/>
  <c r="P166" i="7" s="1"/>
  <c r="Q166" i="7" s="1"/>
  <c r="S166" i="7"/>
  <c r="U166" i="7" s="1"/>
  <c r="W166" i="7" s="1"/>
  <c r="S162" i="7"/>
  <c r="U162" i="7" s="1"/>
  <c r="W162" i="7" s="1"/>
  <c r="N162" i="7"/>
  <c r="O162" i="7" s="1"/>
  <c r="P162" i="7" s="1"/>
  <c r="Q162" i="7" s="1"/>
  <c r="S158" i="7"/>
  <c r="U158" i="7" s="1"/>
  <c r="W158" i="7" s="1"/>
  <c r="N158" i="7"/>
  <c r="O158" i="7" s="1"/>
  <c r="P158" i="7" s="1"/>
  <c r="Q158" i="7" s="1"/>
  <c r="S154" i="7"/>
  <c r="U154" i="7" s="1"/>
  <c r="W154" i="7" s="1"/>
  <c r="N154" i="7"/>
  <c r="O154" i="7" s="1"/>
  <c r="P154" i="7" s="1"/>
  <c r="Q154" i="7" s="1"/>
  <c r="S150" i="7"/>
  <c r="U150" i="7" s="1"/>
  <c r="W150" i="7" s="1"/>
  <c r="N150" i="7"/>
  <c r="O150" i="7" s="1"/>
  <c r="P150" i="7" s="1"/>
  <c r="Q150" i="7" s="1"/>
  <c r="S146" i="7"/>
  <c r="U146" i="7" s="1"/>
  <c r="W146" i="7" s="1"/>
  <c r="N146" i="7"/>
  <c r="O146" i="7" s="1"/>
  <c r="P146" i="7" s="1"/>
  <c r="Q146" i="7" s="1"/>
  <c r="S139" i="7"/>
  <c r="U139" i="7" s="1"/>
  <c r="W139" i="7" s="1"/>
  <c r="N139" i="7"/>
  <c r="O139" i="7" s="1"/>
  <c r="P139" i="7" s="1"/>
  <c r="Q139" i="7" s="1"/>
  <c r="S137" i="7"/>
  <c r="U137" i="7" s="1"/>
  <c r="W137" i="7" s="1"/>
  <c r="N137" i="7"/>
  <c r="O137" i="7" s="1"/>
  <c r="P137" i="7" s="1"/>
  <c r="Q137" i="7" s="1"/>
  <c r="S133" i="7"/>
  <c r="U133" i="7" s="1"/>
  <c r="W133" i="7" s="1"/>
  <c r="N133" i="7"/>
  <c r="O133" i="7" s="1"/>
  <c r="P133" i="7" s="1"/>
  <c r="Q133" i="7" s="1"/>
  <c r="S142" i="7"/>
  <c r="U142" i="7" s="1"/>
  <c r="W142" i="7" s="1"/>
  <c r="N142" i="7"/>
  <c r="O142" i="7" s="1"/>
  <c r="P142" i="7" s="1"/>
  <c r="Q142" i="7" s="1"/>
  <c r="H138" i="7"/>
  <c r="H136" i="7"/>
  <c r="H134" i="7"/>
  <c r="Y132" i="7"/>
  <c r="R132" i="7"/>
  <c r="Y128" i="7"/>
  <c r="R128" i="7"/>
  <c r="Y124" i="7"/>
  <c r="R124" i="7"/>
  <c r="Y120" i="7"/>
  <c r="R120" i="7"/>
  <c r="Y116" i="7"/>
  <c r="R116" i="7"/>
  <c r="Y112" i="7"/>
  <c r="R112" i="7"/>
  <c r="Y131" i="7"/>
  <c r="R131" i="7"/>
  <c r="Y127" i="7"/>
  <c r="R127" i="7"/>
  <c r="Y123" i="7"/>
  <c r="R123" i="7"/>
  <c r="Y119" i="7"/>
  <c r="R119" i="7"/>
  <c r="Y115" i="7"/>
  <c r="R115" i="7"/>
  <c r="Y111" i="7"/>
  <c r="R111" i="7"/>
  <c r="H104" i="7"/>
  <c r="H100" i="7"/>
  <c r="N96" i="7"/>
  <c r="O96" i="7" s="1"/>
  <c r="P96" i="7" s="1"/>
  <c r="Q96" i="7" s="1"/>
  <c r="S96" i="7"/>
  <c r="U96" i="7" s="1"/>
  <c r="W96" i="7" s="1"/>
  <c r="N92" i="7"/>
  <c r="O92" i="7" s="1"/>
  <c r="P92" i="7" s="1"/>
  <c r="Q92" i="7" s="1"/>
  <c r="S92" i="7"/>
  <c r="U92" i="7" s="1"/>
  <c r="W92" i="7" s="1"/>
  <c r="N88" i="7"/>
  <c r="O88" i="7" s="1"/>
  <c r="P88" i="7" s="1"/>
  <c r="Q88" i="7" s="1"/>
  <c r="S88" i="7"/>
  <c r="U88" i="7" s="1"/>
  <c r="W88" i="7" s="1"/>
  <c r="N84" i="7"/>
  <c r="O84" i="7" s="1"/>
  <c r="P84" i="7" s="1"/>
  <c r="Q84" i="7" s="1"/>
  <c r="S84" i="7"/>
  <c r="U84" i="7" s="1"/>
  <c r="W84" i="7" s="1"/>
  <c r="N80" i="7"/>
  <c r="O80" i="7" s="1"/>
  <c r="P80" i="7" s="1"/>
  <c r="Q80" i="7" s="1"/>
  <c r="S80" i="7"/>
  <c r="U80" i="7" s="1"/>
  <c r="W80" i="7" s="1"/>
  <c r="S103" i="7"/>
  <c r="U103" i="7" s="1"/>
  <c r="W103" i="7" s="1"/>
  <c r="N103" i="7"/>
  <c r="O103" i="7" s="1"/>
  <c r="P103" i="7" s="1"/>
  <c r="Q103" i="7" s="1"/>
  <c r="H99" i="7"/>
  <c r="H95" i="7"/>
  <c r="H91" i="7"/>
  <c r="H87" i="7"/>
  <c r="H83" i="7"/>
  <c r="H79" i="7"/>
  <c r="N76" i="7"/>
  <c r="O76" i="7" s="1"/>
  <c r="P76" i="7" s="1"/>
  <c r="Q76" i="7" s="1"/>
  <c r="S76" i="7"/>
  <c r="U76" i="7" s="1"/>
  <c r="W76" i="7" s="1"/>
  <c r="N72" i="7"/>
  <c r="O72" i="7" s="1"/>
  <c r="P72" i="7" s="1"/>
  <c r="Q72" i="7" s="1"/>
  <c r="S72" i="7"/>
  <c r="U72" i="7" s="1"/>
  <c r="W72" i="7" s="1"/>
  <c r="N68" i="7"/>
  <c r="O68" i="7" s="1"/>
  <c r="P68" i="7" s="1"/>
  <c r="Q68" i="7" s="1"/>
  <c r="S68" i="7"/>
  <c r="U68" i="7" s="1"/>
  <c r="W68" i="7" s="1"/>
  <c r="N64" i="7"/>
  <c r="O64" i="7" s="1"/>
  <c r="P64" i="7" s="1"/>
  <c r="Q64" i="7" s="1"/>
  <c r="S64" i="7"/>
  <c r="U64" i="7" s="1"/>
  <c r="W64" i="7" s="1"/>
  <c r="Y60" i="7"/>
  <c r="R60" i="7"/>
  <c r="S102" i="7"/>
  <c r="U102" i="7" s="1"/>
  <c r="W102" i="7" s="1"/>
  <c r="N102" i="7"/>
  <c r="O102" i="7" s="1"/>
  <c r="P102" i="7" s="1"/>
  <c r="Q102" i="7" s="1"/>
  <c r="H98" i="7"/>
  <c r="H94" i="7"/>
  <c r="H90" i="7"/>
  <c r="H86" i="7"/>
  <c r="H82" i="7"/>
  <c r="H78" i="7"/>
  <c r="H59" i="7"/>
  <c r="H101" i="7"/>
  <c r="N93" i="7"/>
  <c r="O93" i="7" s="1"/>
  <c r="P93" i="7" s="1"/>
  <c r="Q93" i="7" s="1"/>
  <c r="S93" i="7"/>
  <c r="U93" i="7" s="1"/>
  <c r="W93" i="7" s="1"/>
  <c r="N89" i="7"/>
  <c r="O89" i="7" s="1"/>
  <c r="P89" i="7" s="1"/>
  <c r="Q89" i="7" s="1"/>
  <c r="S89" i="7"/>
  <c r="U89" i="7" s="1"/>
  <c r="W89" i="7" s="1"/>
  <c r="N85" i="7"/>
  <c r="O85" i="7" s="1"/>
  <c r="P85" i="7" s="1"/>
  <c r="Q85" i="7" s="1"/>
  <c r="S85" i="7"/>
  <c r="U85" i="7" s="1"/>
  <c r="W85" i="7" s="1"/>
  <c r="N81" i="7"/>
  <c r="O81" i="7" s="1"/>
  <c r="P81" i="7" s="1"/>
  <c r="Q81" i="7" s="1"/>
  <c r="S81" i="7"/>
  <c r="U81" i="7" s="1"/>
  <c r="W81" i="7" s="1"/>
  <c r="N77" i="7"/>
  <c r="O77" i="7" s="1"/>
  <c r="P77" i="7" s="1"/>
  <c r="Q77" i="7" s="1"/>
  <c r="S77" i="7"/>
  <c r="U77" i="7" s="1"/>
  <c r="W77" i="7" s="1"/>
  <c r="S21" i="7"/>
  <c r="U21" i="7" s="1"/>
  <c r="W21" i="7" s="1"/>
  <c r="N21" i="7"/>
  <c r="O21" i="7" s="1"/>
  <c r="P21" i="7" s="1"/>
  <c r="Q21" i="7" s="1"/>
  <c r="S17" i="7"/>
  <c r="U17" i="7" s="1"/>
  <c r="W17" i="7" s="1"/>
  <c r="N17" i="7"/>
  <c r="O17" i="7" s="1"/>
  <c r="P17" i="7" s="1"/>
  <c r="Q17" i="7" s="1"/>
  <c r="S13" i="7"/>
  <c r="U13" i="7" s="1"/>
  <c r="W13" i="7" s="1"/>
  <c r="N13" i="7"/>
  <c r="O13" i="7" s="1"/>
  <c r="P13" i="7" s="1"/>
  <c r="Q13" i="7" s="1"/>
  <c r="S9" i="7"/>
  <c r="U9" i="7" s="1"/>
  <c r="W9" i="7" s="1"/>
  <c r="N9" i="7"/>
  <c r="O9" i="7" s="1"/>
  <c r="P9" i="7" s="1"/>
  <c r="Q9" i="7" s="1"/>
  <c r="S20" i="7"/>
  <c r="U20" i="7" s="1"/>
  <c r="W20" i="7" s="1"/>
  <c r="N20" i="7"/>
  <c r="O20" i="7" s="1"/>
  <c r="P20" i="7" s="1"/>
  <c r="Q20" i="7" s="1"/>
  <c r="S16" i="7"/>
  <c r="U16" i="7" s="1"/>
  <c r="W16" i="7" s="1"/>
  <c r="N16" i="7"/>
  <c r="O16" i="7" s="1"/>
  <c r="P16" i="7" s="1"/>
  <c r="Q16" i="7" s="1"/>
  <c r="S12" i="7"/>
  <c r="U12" i="7" s="1"/>
  <c r="W12" i="7" s="1"/>
  <c r="N12" i="7"/>
  <c r="O12" i="7" s="1"/>
  <c r="P12" i="7" s="1"/>
  <c r="Q12" i="7" s="1"/>
  <c r="H23" i="7"/>
  <c r="H19" i="7"/>
  <c r="H15" i="7"/>
  <c r="H11" i="7"/>
  <c r="N200" i="6"/>
  <c r="O200" i="6" s="1"/>
  <c r="P200" i="6" s="1"/>
  <c r="Q200" i="6" s="1"/>
  <c r="S200" i="6"/>
  <c r="U200" i="6" s="1"/>
  <c r="W200" i="6" s="1"/>
  <c r="N184" i="6"/>
  <c r="O184" i="6" s="1"/>
  <c r="P184" i="6" s="1"/>
  <c r="Q184" i="6" s="1"/>
  <c r="S184" i="6"/>
  <c r="U184" i="6" s="1"/>
  <c r="W184" i="6" s="1"/>
  <c r="N168" i="6"/>
  <c r="O168" i="6" s="1"/>
  <c r="P168" i="6" s="1"/>
  <c r="Q168" i="6" s="1"/>
  <c r="S168" i="6"/>
  <c r="U168" i="6" s="1"/>
  <c r="W168" i="6" s="1"/>
  <c r="S18" i="7"/>
  <c r="U18" i="7" s="1"/>
  <c r="W18" i="7" s="1"/>
  <c r="N18" i="7"/>
  <c r="O18" i="7" s="1"/>
  <c r="P18" i="7" s="1"/>
  <c r="Q18" i="7" s="1"/>
  <c r="S165" i="6"/>
  <c r="U165" i="6" s="1"/>
  <c r="W165" i="6" s="1"/>
  <c r="N165" i="6"/>
  <c r="O165" i="6" s="1"/>
  <c r="P165" i="6" s="1"/>
  <c r="Q165" i="6" s="1"/>
  <c r="S22" i="7"/>
  <c r="U22" i="7" s="1"/>
  <c r="W22" i="7" s="1"/>
  <c r="N22" i="7"/>
  <c r="O22" i="7" s="1"/>
  <c r="P22" i="7" s="1"/>
  <c r="Q22" i="7" s="1"/>
  <c r="N207" i="6"/>
  <c r="O207" i="6" s="1"/>
  <c r="P207" i="6" s="1"/>
  <c r="Q207" i="6" s="1"/>
  <c r="S207" i="6"/>
  <c r="U207" i="6" s="1"/>
  <c r="W207" i="6" s="1"/>
  <c r="S205" i="6"/>
  <c r="U205" i="6" s="1"/>
  <c r="W205" i="6" s="1"/>
  <c r="N205" i="6"/>
  <c r="O205" i="6" s="1"/>
  <c r="P205" i="6" s="1"/>
  <c r="Q205" i="6" s="1"/>
  <c r="H201" i="6"/>
  <c r="S193" i="6"/>
  <c r="U193" i="6" s="1"/>
  <c r="W193" i="6" s="1"/>
  <c r="N193" i="6"/>
  <c r="O193" i="6" s="1"/>
  <c r="P193" i="6" s="1"/>
  <c r="Q193" i="6" s="1"/>
  <c r="S190" i="6"/>
  <c r="U190" i="6" s="1"/>
  <c r="W190" i="6" s="1"/>
  <c r="N190" i="6"/>
  <c r="O190" i="6" s="1"/>
  <c r="P190" i="6" s="1"/>
  <c r="Q190" i="6" s="1"/>
  <c r="H185" i="6"/>
  <c r="S177" i="6"/>
  <c r="U177" i="6" s="1"/>
  <c r="W177" i="6" s="1"/>
  <c r="N177" i="6"/>
  <c r="O177" i="6" s="1"/>
  <c r="P177" i="6" s="1"/>
  <c r="Q177" i="6" s="1"/>
  <c r="S174" i="6"/>
  <c r="U174" i="6" s="1"/>
  <c r="W174" i="6" s="1"/>
  <c r="N174" i="6"/>
  <c r="O174" i="6" s="1"/>
  <c r="P174" i="6" s="1"/>
  <c r="Q174" i="6" s="1"/>
  <c r="H169" i="6"/>
  <c r="N167" i="6"/>
  <c r="O167" i="6" s="1"/>
  <c r="P167" i="6" s="1"/>
  <c r="Q167" i="6" s="1"/>
  <c r="S167" i="6"/>
  <c r="U167" i="6" s="1"/>
  <c r="W167" i="6" s="1"/>
  <c r="S150" i="6"/>
  <c r="U150" i="6" s="1"/>
  <c r="W150" i="6" s="1"/>
  <c r="N150" i="6"/>
  <c r="O150" i="6" s="1"/>
  <c r="P150" i="6" s="1"/>
  <c r="Q150" i="6" s="1"/>
  <c r="S134" i="6"/>
  <c r="U134" i="6" s="1"/>
  <c r="W134" i="6" s="1"/>
  <c r="N134" i="6"/>
  <c r="O134" i="6" s="1"/>
  <c r="P134" i="6" s="1"/>
  <c r="Q134" i="6" s="1"/>
  <c r="S118" i="6"/>
  <c r="U118" i="6" s="1"/>
  <c r="W118" i="6" s="1"/>
  <c r="N118" i="6"/>
  <c r="O118" i="6" s="1"/>
  <c r="P118" i="6" s="1"/>
  <c r="Q118" i="6" s="1"/>
  <c r="N110" i="6"/>
  <c r="O110" i="6" s="1"/>
  <c r="P110" i="6" s="1"/>
  <c r="Q110" i="6" s="1"/>
  <c r="S110" i="6"/>
  <c r="U110" i="6" s="1"/>
  <c r="W110" i="6" s="1"/>
  <c r="H10" i="7"/>
  <c r="S14" i="7"/>
  <c r="U14" i="7" s="1"/>
  <c r="W14" i="7" s="1"/>
  <c r="N14" i="7"/>
  <c r="O14" i="7" s="1"/>
  <c r="P14" i="7" s="1"/>
  <c r="Q14" i="7" s="1"/>
  <c r="H195" i="6"/>
  <c r="H179" i="6"/>
  <c r="Y166" i="6"/>
  <c r="R166" i="6"/>
  <c r="Y96" i="6"/>
  <c r="R96" i="6"/>
  <c r="S160" i="6"/>
  <c r="U160" i="6" s="1"/>
  <c r="W160" i="6" s="1"/>
  <c r="N160" i="6"/>
  <c r="O160" i="6" s="1"/>
  <c r="P160" i="6" s="1"/>
  <c r="Q160" i="6" s="1"/>
  <c r="S156" i="6"/>
  <c r="U156" i="6" s="1"/>
  <c r="W156" i="6" s="1"/>
  <c r="N156" i="6"/>
  <c r="O156" i="6" s="1"/>
  <c r="P156" i="6" s="1"/>
  <c r="Q156" i="6" s="1"/>
  <c r="H148" i="6"/>
  <c r="S140" i="6"/>
  <c r="U140" i="6" s="1"/>
  <c r="W140" i="6" s="1"/>
  <c r="N140" i="6"/>
  <c r="O140" i="6" s="1"/>
  <c r="P140" i="6" s="1"/>
  <c r="Q140" i="6" s="1"/>
  <c r="H132" i="6"/>
  <c r="S124" i="6"/>
  <c r="U124" i="6" s="1"/>
  <c r="W124" i="6" s="1"/>
  <c r="N124" i="6"/>
  <c r="O124" i="6" s="1"/>
  <c r="P124" i="6" s="1"/>
  <c r="Q124" i="6" s="1"/>
  <c r="H116" i="6"/>
  <c r="S107" i="6"/>
  <c r="U107" i="6" s="1"/>
  <c r="W107" i="6" s="1"/>
  <c r="N107" i="6"/>
  <c r="O107" i="6" s="1"/>
  <c r="P107" i="6" s="1"/>
  <c r="Q107" i="6" s="1"/>
  <c r="S100" i="6"/>
  <c r="U100" i="6" s="1"/>
  <c r="W100" i="6" s="1"/>
  <c r="N100" i="6"/>
  <c r="O100" i="6" s="1"/>
  <c r="P100" i="6" s="1"/>
  <c r="Q100" i="6" s="1"/>
  <c r="H99" i="6"/>
  <c r="N82" i="6"/>
  <c r="O82" i="6" s="1"/>
  <c r="P82" i="6" s="1"/>
  <c r="Q82" i="6" s="1"/>
  <c r="S82" i="6"/>
  <c r="U82" i="6" s="1"/>
  <c r="W82" i="6" s="1"/>
  <c r="N66" i="6"/>
  <c r="O66" i="6" s="1"/>
  <c r="P66" i="6" s="1"/>
  <c r="Q66" i="6" s="1"/>
  <c r="S66" i="6"/>
  <c r="U66" i="6" s="1"/>
  <c r="W66" i="6" s="1"/>
  <c r="N50" i="6"/>
  <c r="O50" i="6" s="1"/>
  <c r="P50" i="6" s="1"/>
  <c r="Q50" i="6" s="1"/>
  <c r="S50" i="6"/>
  <c r="U50" i="6" s="1"/>
  <c r="W50" i="6" s="1"/>
  <c r="S91" i="6"/>
  <c r="U91" i="6" s="1"/>
  <c r="W91" i="6" s="1"/>
  <c r="N91" i="6"/>
  <c r="O91" i="6" s="1"/>
  <c r="P91" i="6" s="1"/>
  <c r="Q91" i="6" s="1"/>
  <c r="S75" i="6"/>
  <c r="U75" i="6" s="1"/>
  <c r="W75" i="6" s="1"/>
  <c r="N75" i="6"/>
  <c r="O75" i="6" s="1"/>
  <c r="P75" i="6" s="1"/>
  <c r="Q75" i="6" s="1"/>
  <c r="H59" i="6"/>
  <c r="Y53" i="6"/>
  <c r="R53" i="6"/>
  <c r="S43" i="6"/>
  <c r="U43" i="6" s="1"/>
  <c r="W43" i="6" s="1"/>
  <c r="N43" i="6"/>
  <c r="O43" i="6" s="1"/>
  <c r="P43" i="6" s="1"/>
  <c r="Q43" i="6" s="1"/>
  <c r="S10" i="6"/>
  <c r="U10" i="6" s="1"/>
  <c r="W10" i="6" s="1"/>
  <c r="N10" i="6"/>
  <c r="O10" i="6" s="1"/>
  <c r="P10" i="6" s="1"/>
  <c r="Q10" i="6" s="1"/>
  <c r="S86" i="6"/>
  <c r="U86" i="6" s="1"/>
  <c r="W86" i="6" s="1"/>
  <c r="N86" i="6"/>
  <c r="O86" i="6" s="1"/>
  <c r="P86" i="6" s="1"/>
  <c r="Q86" i="6" s="1"/>
  <c r="H71" i="6"/>
  <c r="Y65" i="6"/>
  <c r="R65" i="6"/>
  <c r="S55" i="6"/>
  <c r="U55" i="6" s="1"/>
  <c r="W55" i="6" s="1"/>
  <c r="N55" i="6"/>
  <c r="O55" i="6" s="1"/>
  <c r="P55" i="6" s="1"/>
  <c r="Q55" i="6" s="1"/>
  <c r="Y30" i="6"/>
  <c r="R30" i="6"/>
  <c r="H83" i="6"/>
  <c r="Y77" i="6"/>
  <c r="R77" i="6"/>
  <c r="S67" i="6"/>
  <c r="U67" i="6" s="1"/>
  <c r="W67" i="6" s="1"/>
  <c r="N67" i="6"/>
  <c r="O67" i="6" s="1"/>
  <c r="P67" i="6" s="1"/>
  <c r="Q67" i="6" s="1"/>
  <c r="H51" i="6"/>
  <c r="Y45" i="6"/>
  <c r="R45" i="6"/>
  <c r="S35" i="6"/>
  <c r="U35" i="6" s="1"/>
  <c r="W35" i="6" s="1"/>
  <c r="N35" i="6"/>
  <c r="O35" i="6" s="1"/>
  <c r="P35" i="6" s="1"/>
  <c r="Q35" i="6" s="1"/>
  <c r="H79" i="6"/>
  <c r="Y73" i="6"/>
  <c r="R73" i="6"/>
  <c r="S63" i="6"/>
  <c r="U63" i="6" s="1"/>
  <c r="W63" i="6" s="1"/>
  <c r="N63" i="6"/>
  <c r="O63" i="6" s="1"/>
  <c r="P63" i="6" s="1"/>
  <c r="Q63" i="6" s="1"/>
  <c r="H47" i="6"/>
  <c r="Y41" i="6"/>
  <c r="R41" i="6"/>
  <c r="H11" i="6"/>
  <c r="Z76" i="5"/>
  <c r="R76" i="5"/>
  <c r="Y76" i="5"/>
  <c r="S9" i="5"/>
  <c r="U9" i="5" s="1"/>
  <c r="W9" i="5" s="1"/>
  <c r="N9" i="5"/>
  <c r="O9" i="5" s="1"/>
  <c r="P9" i="5" s="1"/>
  <c r="Q9" i="5" s="1"/>
  <c r="S148" i="4"/>
  <c r="N148" i="4"/>
  <c r="O148" i="4" s="1"/>
  <c r="P148" i="4" s="1"/>
  <c r="Q148" i="4" s="1"/>
  <c r="H71" i="5"/>
  <c r="H66" i="5"/>
  <c r="Z64" i="5"/>
  <c r="Y64" i="5"/>
  <c r="R64" i="5"/>
  <c r="S55" i="5"/>
  <c r="U55" i="5" s="1"/>
  <c r="W55" i="5" s="1"/>
  <c r="N55" i="5"/>
  <c r="O55" i="5" s="1"/>
  <c r="P55" i="5" s="1"/>
  <c r="Q55" i="5" s="1"/>
  <c r="N50" i="5"/>
  <c r="O50" i="5" s="1"/>
  <c r="P50" i="5" s="1"/>
  <c r="Q50" i="5" s="1"/>
  <c r="S50" i="5"/>
  <c r="U50" i="5" s="1"/>
  <c r="W50" i="5" s="1"/>
  <c r="H39" i="5"/>
  <c r="H34" i="5"/>
  <c r="Z32" i="5"/>
  <c r="Y32" i="5"/>
  <c r="R32" i="5"/>
  <c r="S23" i="5"/>
  <c r="U23" i="5" s="1"/>
  <c r="W23" i="5" s="1"/>
  <c r="N23" i="5"/>
  <c r="O23" i="5" s="1"/>
  <c r="P23" i="5" s="1"/>
  <c r="Q23" i="5" s="1"/>
  <c r="N18" i="5"/>
  <c r="O18" i="5" s="1"/>
  <c r="P18" i="5" s="1"/>
  <c r="Q18" i="5" s="1"/>
  <c r="S18" i="5"/>
  <c r="U18" i="5" s="1"/>
  <c r="W18" i="5" s="1"/>
  <c r="N155" i="4"/>
  <c r="O155" i="4" s="1"/>
  <c r="P155" i="4" s="1"/>
  <c r="Q155" i="4" s="1"/>
  <c r="S155" i="4"/>
  <c r="N147" i="4"/>
  <c r="O147" i="4" s="1"/>
  <c r="P147" i="4" s="1"/>
  <c r="Q147" i="4" s="1"/>
  <c r="S147" i="4"/>
  <c r="S22" i="6"/>
  <c r="U22" i="6" s="1"/>
  <c r="W22" i="6" s="1"/>
  <c r="N22" i="6"/>
  <c r="O22" i="6" s="1"/>
  <c r="P22" i="6" s="1"/>
  <c r="Q22" i="6" s="1"/>
  <c r="N139" i="4"/>
  <c r="O139" i="4" s="1"/>
  <c r="P139" i="4" s="1"/>
  <c r="Q139" i="4" s="1"/>
  <c r="S139" i="4"/>
  <c r="H20" i="6"/>
  <c r="H74" i="5"/>
  <c r="Z72" i="5"/>
  <c r="Y72" i="5"/>
  <c r="R72" i="5"/>
  <c r="S63" i="5"/>
  <c r="U63" i="5" s="1"/>
  <c r="W63" i="5" s="1"/>
  <c r="N63" i="5"/>
  <c r="O63" i="5" s="1"/>
  <c r="P63" i="5" s="1"/>
  <c r="Q63" i="5" s="1"/>
  <c r="N58" i="5"/>
  <c r="O58" i="5" s="1"/>
  <c r="P58" i="5" s="1"/>
  <c r="Q58" i="5" s="1"/>
  <c r="S58" i="5"/>
  <c r="U58" i="5" s="1"/>
  <c r="W58" i="5" s="1"/>
  <c r="H47" i="5"/>
  <c r="H42" i="5"/>
  <c r="Z40" i="5"/>
  <c r="Y40" i="5"/>
  <c r="R40" i="5"/>
  <c r="S31" i="5"/>
  <c r="U31" i="5" s="1"/>
  <c r="W31" i="5" s="1"/>
  <c r="N31" i="5"/>
  <c r="O31" i="5" s="1"/>
  <c r="P31" i="5" s="1"/>
  <c r="Q31" i="5" s="1"/>
  <c r="N26" i="5"/>
  <c r="O26" i="5" s="1"/>
  <c r="P26" i="5" s="1"/>
  <c r="Q26" i="5" s="1"/>
  <c r="S26" i="5"/>
  <c r="U26" i="5" s="1"/>
  <c r="W26" i="5" s="1"/>
  <c r="H15" i="5"/>
  <c r="S140" i="4"/>
  <c r="N140" i="4"/>
  <c r="O140" i="4" s="1"/>
  <c r="P140" i="4" s="1"/>
  <c r="Q140" i="4" s="1"/>
  <c r="N130" i="4"/>
  <c r="O130" i="4" s="1"/>
  <c r="P130" i="4" s="1"/>
  <c r="Q130" i="4" s="1"/>
  <c r="S130" i="4"/>
  <c r="N122" i="4"/>
  <c r="O122" i="4" s="1"/>
  <c r="P122" i="4" s="1"/>
  <c r="Q122" i="4" s="1"/>
  <c r="S122" i="4"/>
  <c r="N114" i="4"/>
  <c r="O114" i="4" s="1"/>
  <c r="P114" i="4" s="1"/>
  <c r="Q114" i="4" s="1"/>
  <c r="S114" i="4"/>
  <c r="N106" i="4"/>
  <c r="O106" i="4" s="1"/>
  <c r="P106" i="4" s="1"/>
  <c r="Q106" i="4" s="1"/>
  <c r="S106" i="4"/>
  <c r="N98" i="4"/>
  <c r="O98" i="4" s="1"/>
  <c r="P98" i="4" s="1"/>
  <c r="Q98" i="4" s="1"/>
  <c r="S98" i="4"/>
  <c r="N90" i="4"/>
  <c r="O90" i="4" s="1"/>
  <c r="P90" i="4" s="1"/>
  <c r="Q90" i="4" s="1"/>
  <c r="S90" i="4"/>
  <c r="N82" i="4"/>
  <c r="O82" i="4" s="1"/>
  <c r="P82" i="4" s="1"/>
  <c r="Q82" i="4" s="1"/>
  <c r="S82" i="4"/>
  <c r="N74" i="4"/>
  <c r="O74" i="4" s="1"/>
  <c r="P74" i="4" s="1"/>
  <c r="Q74" i="4" s="1"/>
  <c r="S74" i="4"/>
  <c r="N66" i="4"/>
  <c r="O66" i="4" s="1"/>
  <c r="P66" i="4" s="1"/>
  <c r="Q66" i="4" s="1"/>
  <c r="S66" i="4"/>
  <c r="S14" i="6"/>
  <c r="U14" i="6" s="1"/>
  <c r="W14" i="6" s="1"/>
  <c r="N14" i="6"/>
  <c r="O14" i="6" s="1"/>
  <c r="P14" i="6" s="1"/>
  <c r="Q14" i="6" s="1"/>
  <c r="H67" i="5"/>
  <c r="H62" i="5"/>
  <c r="Z60" i="5"/>
  <c r="Y60" i="5"/>
  <c r="R60" i="5"/>
  <c r="S51" i="5"/>
  <c r="U51" i="5" s="1"/>
  <c r="W51" i="5" s="1"/>
  <c r="N51" i="5"/>
  <c r="O51" i="5" s="1"/>
  <c r="P51" i="5" s="1"/>
  <c r="Q51" i="5" s="1"/>
  <c r="N46" i="5"/>
  <c r="O46" i="5" s="1"/>
  <c r="P46" i="5" s="1"/>
  <c r="Q46" i="5" s="1"/>
  <c r="S46" i="5"/>
  <c r="U46" i="5" s="1"/>
  <c r="W46" i="5" s="1"/>
  <c r="H35" i="5"/>
  <c r="H30" i="5"/>
  <c r="Z28" i="5"/>
  <c r="Y28" i="5"/>
  <c r="R28" i="5"/>
  <c r="S19" i="5"/>
  <c r="U19" i="5" s="1"/>
  <c r="W19" i="5" s="1"/>
  <c r="N19" i="5"/>
  <c r="O19" i="5" s="1"/>
  <c r="P19" i="5" s="1"/>
  <c r="Q19" i="5" s="1"/>
  <c r="N14" i="5"/>
  <c r="O14" i="5" s="1"/>
  <c r="P14" i="5" s="1"/>
  <c r="Q14" i="5" s="1"/>
  <c r="S14" i="5"/>
  <c r="U14" i="5" s="1"/>
  <c r="W14" i="5" s="1"/>
  <c r="S142" i="4"/>
  <c r="N142" i="4"/>
  <c r="O142" i="4" s="1"/>
  <c r="P142" i="4" s="1"/>
  <c r="Q142" i="4" s="1"/>
  <c r="S134" i="4"/>
  <c r="N134" i="4"/>
  <c r="O134" i="4" s="1"/>
  <c r="P134" i="4" s="1"/>
  <c r="Q134" i="4" s="1"/>
  <c r="S132" i="4"/>
  <c r="N132" i="4"/>
  <c r="O132" i="4" s="1"/>
  <c r="P132" i="4" s="1"/>
  <c r="Q132" i="4" s="1"/>
  <c r="H57" i="4"/>
  <c r="H127" i="4"/>
  <c r="H119" i="4"/>
  <c r="H111" i="4"/>
  <c r="H103" i="4"/>
  <c r="H95" i="4"/>
  <c r="H87" i="4"/>
  <c r="H79" i="4"/>
  <c r="H71" i="4"/>
  <c r="S44" i="4"/>
  <c r="N44" i="4"/>
  <c r="O44" i="4" s="1"/>
  <c r="P44" i="4" s="1"/>
  <c r="Q44" i="4" s="1"/>
  <c r="S36" i="4"/>
  <c r="N36" i="4"/>
  <c r="O36" i="4" s="1"/>
  <c r="P36" i="4" s="1"/>
  <c r="Q36" i="4" s="1"/>
  <c r="S46" i="4"/>
  <c r="N46" i="4"/>
  <c r="O46" i="4" s="1"/>
  <c r="P46" i="4" s="1"/>
  <c r="Q46" i="4" s="1"/>
  <c r="H38" i="4"/>
  <c r="S131" i="4"/>
  <c r="N131" i="4"/>
  <c r="O131" i="4" s="1"/>
  <c r="P131" i="4" s="1"/>
  <c r="Q131" i="4" s="1"/>
  <c r="S123" i="4"/>
  <c r="N123" i="4"/>
  <c r="O123" i="4" s="1"/>
  <c r="P123" i="4" s="1"/>
  <c r="Q123" i="4" s="1"/>
  <c r="S115" i="4"/>
  <c r="N115" i="4"/>
  <c r="O115" i="4" s="1"/>
  <c r="P115" i="4" s="1"/>
  <c r="Q115" i="4" s="1"/>
  <c r="S107" i="4"/>
  <c r="N107" i="4"/>
  <c r="O107" i="4" s="1"/>
  <c r="P107" i="4" s="1"/>
  <c r="Q107" i="4" s="1"/>
  <c r="S99" i="4"/>
  <c r="N99" i="4"/>
  <c r="O99" i="4" s="1"/>
  <c r="P99" i="4" s="1"/>
  <c r="Q99" i="4" s="1"/>
  <c r="S91" i="4"/>
  <c r="N91" i="4"/>
  <c r="O91" i="4" s="1"/>
  <c r="P91" i="4" s="1"/>
  <c r="Q91" i="4" s="1"/>
  <c r="S83" i="4"/>
  <c r="N83" i="4"/>
  <c r="O83" i="4" s="1"/>
  <c r="P83" i="4" s="1"/>
  <c r="Q83" i="4" s="1"/>
  <c r="S75" i="4"/>
  <c r="N75" i="4"/>
  <c r="O75" i="4" s="1"/>
  <c r="P75" i="4" s="1"/>
  <c r="Q75" i="4" s="1"/>
  <c r="S67" i="4"/>
  <c r="N67" i="4"/>
  <c r="O67" i="4" s="1"/>
  <c r="P67" i="4" s="1"/>
  <c r="Q67" i="4" s="1"/>
  <c r="H40" i="4"/>
  <c r="R31" i="4"/>
  <c r="U31" i="4"/>
  <c r="H30" i="4"/>
  <c r="S28" i="4"/>
  <c r="N28" i="4"/>
  <c r="O28" i="4" s="1"/>
  <c r="P28" i="4" s="1"/>
  <c r="Q28" i="4" s="1"/>
  <c r="U46" i="4" l="1"/>
  <c r="R46" i="4"/>
  <c r="R74" i="4"/>
  <c r="U74" i="4"/>
  <c r="R90" i="4"/>
  <c r="U90" i="4"/>
  <c r="R106" i="4"/>
  <c r="U106" i="4"/>
  <c r="R122" i="4"/>
  <c r="U122" i="4"/>
  <c r="Z31" i="5"/>
  <c r="Y31" i="5"/>
  <c r="R31" i="5"/>
  <c r="Y58" i="5"/>
  <c r="R58" i="5"/>
  <c r="Z58" i="5"/>
  <c r="Z9" i="5"/>
  <c r="Y9" i="5"/>
  <c r="R9" i="5"/>
  <c r="Y75" i="6"/>
  <c r="R75" i="6"/>
  <c r="Y124" i="6"/>
  <c r="R124" i="6"/>
  <c r="Y160" i="6"/>
  <c r="R160" i="6"/>
  <c r="Y14" i="7"/>
  <c r="R14" i="7"/>
  <c r="R110" i="6"/>
  <c r="Y110" i="6"/>
  <c r="R167" i="6"/>
  <c r="Y167" i="6"/>
  <c r="Y177" i="6"/>
  <c r="R177" i="6"/>
  <c r="Y205" i="6"/>
  <c r="R205" i="6"/>
  <c r="Y22" i="7"/>
  <c r="R22" i="7"/>
  <c r="Y18" i="7"/>
  <c r="R18" i="7"/>
  <c r="Y12" i="7"/>
  <c r="R12" i="7"/>
  <c r="Y20" i="7"/>
  <c r="R20" i="7"/>
  <c r="Y13" i="7"/>
  <c r="R13" i="7"/>
  <c r="Y21" i="7"/>
  <c r="R21" i="7"/>
  <c r="Y102" i="7"/>
  <c r="R102" i="7"/>
  <c r="Y171" i="7"/>
  <c r="R171" i="7"/>
  <c r="K6" i="8"/>
  <c r="J6" i="8"/>
  <c r="K10" i="8"/>
  <c r="J10" i="8"/>
  <c r="U54" i="4"/>
  <c r="R54" i="4"/>
  <c r="U69" i="4"/>
  <c r="R69" i="4"/>
  <c r="U117" i="4"/>
  <c r="R117" i="4"/>
  <c r="Z43" i="5"/>
  <c r="Y43" i="5"/>
  <c r="R43" i="5"/>
  <c r="R146" i="4"/>
  <c r="U146" i="4"/>
  <c r="Z57" i="5"/>
  <c r="Y57" i="5"/>
  <c r="R57" i="5"/>
  <c r="Y111" i="6"/>
  <c r="R111" i="6"/>
  <c r="Y152" i="6"/>
  <c r="R152" i="6"/>
  <c r="Y178" i="6"/>
  <c r="R178" i="6"/>
  <c r="R106" i="7"/>
  <c r="Y106" i="7"/>
  <c r="Y153" i="7"/>
  <c r="R153" i="7"/>
  <c r="R187" i="7"/>
  <c r="Y187" i="7"/>
  <c r="R15" i="4"/>
  <c r="U15" i="4"/>
  <c r="R23" i="4"/>
  <c r="U23" i="4"/>
  <c r="R13" i="4"/>
  <c r="U13" i="4"/>
  <c r="R25" i="4"/>
  <c r="U25" i="4"/>
  <c r="U65" i="4"/>
  <c r="R65" i="4"/>
  <c r="U81" i="4"/>
  <c r="R81" i="4"/>
  <c r="U97" i="4"/>
  <c r="R97" i="4"/>
  <c r="U113" i="4"/>
  <c r="R113" i="4"/>
  <c r="U129" i="4"/>
  <c r="R129" i="4"/>
  <c r="Y11" i="5"/>
  <c r="R11" i="5"/>
  <c r="Z11" i="5"/>
  <c r="Y68" i="6"/>
  <c r="R68" i="6"/>
  <c r="Y112" i="6"/>
  <c r="R112" i="6"/>
  <c r="Y144" i="6"/>
  <c r="R144" i="6"/>
  <c r="Y95" i="6"/>
  <c r="R95" i="6"/>
  <c r="R117" i="6"/>
  <c r="Y117" i="6"/>
  <c r="R125" i="6"/>
  <c r="Y125" i="6"/>
  <c r="R133" i="6"/>
  <c r="Y133" i="6"/>
  <c r="R141" i="6"/>
  <c r="Y141" i="6"/>
  <c r="R149" i="6"/>
  <c r="Y149" i="6"/>
  <c r="R157" i="6"/>
  <c r="Y157" i="6"/>
  <c r="Y130" i="6"/>
  <c r="R130" i="6"/>
  <c r="Y170" i="6"/>
  <c r="R170" i="6"/>
  <c r="Y186" i="6"/>
  <c r="R186" i="6"/>
  <c r="Y202" i="6"/>
  <c r="R202" i="6"/>
  <c r="Y65" i="7"/>
  <c r="R65" i="7"/>
  <c r="Y73" i="7"/>
  <c r="R73" i="7"/>
  <c r="Y167" i="7"/>
  <c r="R167" i="7"/>
  <c r="J7" i="8"/>
  <c r="K7" i="8" s="1"/>
  <c r="U77" i="4"/>
  <c r="R77" i="4"/>
  <c r="U125" i="4"/>
  <c r="R125" i="4"/>
  <c r="R64" i="4"/>
  <c r="U64" i="4"/>
  <c r="R128" i="4"/>
  <c r="U128" i="4"/>
  <c r="Y70" i="5"/>
  <c r="R70" i="5"/>
  <c r="Z70" i="5"/>
  <c r="Y38" i="6"/>
  <c r="R38" i="6"/>
  <c r="Y136" i="6"/>
  <c r="R136" i="6"/>
  <c r="Y138" i="6"/>
  <c r="R138" i="6"/>
  <c r="Y194" i="6"/>
  <c r="R194" i="6"/>
  <c r="R59" i="7"/>
  <c r="Y59" i="7"/>
  <c r="Y99" i="7"/>
  <c r="R99" i="7"/>
  <c r="Y145" i="7"/>
  <c r="R145" i="7"/>
  <c r="R181" i="7"/>
  <c r="Y181" i="7"/>
  <c r="R190" i="7"/>
  <c r="Y190" i="7"/>
  <c r="Z67" i="5"/>
  <c r="Y67" i="5"/>
  <c r="R67" i="5"/>
  <c r="R78" i="4"/>
  <c r="U78" i="4"/>
  <c r="R94" i="4"/>
  <c r="U94" i="4"/>
  <c r="R110" i="4"/>
  <c r="U110" i="4"/>
  <c r="R126" i="4"/>
  <c r="U126" i="4"/>
  <c r="Z47" i="5"/>
  <c r="Y47" i="5"/>
  <c r="R47" i="5"/>
  <c r="Y74" i="5"/>
  <c r="R74" i="5"/>
  <c r="Z74" i="5"/>
  <c r="U144" i="4"/>
  <c r="R144" i="4"/>
  <c r="Z71" i="5"/>
  <c r="Y71" i="5"/>
  <c r="R71" i="5"/>
  <c r="Y83" i="6"/>
  <c r="R83" i="6"/>
  <c r="Y39" i="6"/>
  <c r="R39" i="6"/>
  <c r="R42" i="6"/>
  <c r="Y42" i="6"/>
  <c r="R74" i="6"/>
  <c r="Y74" i="6"/>
  <c r="Y116" i="6"/>
  <c r="R116" i="6"/>
  <c r="R102" i="6"/>
  <c r="Y102" i="6"/>
  <c r="Y185" i="6"/>
  <c r="R185" i="6"/>
  <c r="R176" i="6"/>
  <c r="Y176" i="6"/>
  <c r="Y78" i="7"/>
  <c r="R78" i="7"/>
  <c r="Y86" i="7"/>
  <c r="R86" i="7"/>
  <c r="Y94" i="7"/>
  <c r="R94" i="7"/>
  <c r="Y100" i="7"/>
  <c r="R100" i="7"/>
  <c r="R140" i="7"/>
  <c r="Y140" i="7"/>
  <c r="Y148" i="7"/>
  <c r="R148" i="7"/>
  <c r="Y156" i="7"/>
  <c r="R156" i="7"/>
  <c r="Y164" i="7"/>
  <c r="R164" i="7"/>
  <c r="U50" i="4"/>
  <c r="R50" i="4"/>
  <c r="U109" i="4"/>
  <c r="R109" i="4"/>
  <c r="U136" i="4"/>
  <c r="R136" i="4"/>
  <c r="Z25" i="5"/>
  <c r="Y25" i="5"/>
  <c r="R25" i="5"/>
  <c r="Y52" i="6"/>
  <c r="R52" i="6"/>
  <c r="Y197" i="6"/>
  <c r="R197" i="6"/>
  <c r="J18" i="8"/>
  <c r="K18" i="8" s="1"/>
  <c r="Z51" i="5"/>
  <c r="Y51" i="5"/>
  <c r="R51" i="5"/>
  <c r="U99" i="4"/>
  <c r="R99" i="4"/>
  <c r="U115" i="4"/>
  <c r="R115" i="4"/>
  <c r="U131" i="4"/>
  <c r="R131" i="4"/>
  <c r="U134" i="4"/>
  <c r="R134" i="4"/>
  <c r="Z63" i="5"/>
  <c r="Y63" i="5"/>
  <c r="R63" i="5"/>
  <c r="R139" i="4"/>
  <c r="U139" i="4"/>
  <c r="U147" i="4"/>
  <c r="R147" i="4"/>
  <c r="Y18" i="5"/>
  <c r="R18" i="5"/>
  <c r="Z18" i="5"/>
  <c r="Y63" i="6"/>
  <c r="R63" i="6"/>
  <c r="Y10" i="6"/>
  <c r="R10" i="6"/>
  <c r="R50" i="6"/>
  <c r="Y50" i="6"/>
  <c r="R82" i="6"/>
  <c r="Y82" i="6"/>
  <c r="Y107" i="6"/>
  <c r="R107" i="6"/>
  <c r="Y118" i="6"/>
  <c r="R118" i="6"/>
  <c r="Y150" i="6"/>
  <c r="R150" i="6"/>
  <c r="Y193" i="6"/>
  <c r="R193" i="6"/>
  <c r="R184" i="6"/>
  <c r="Y184" i="6"/>
  <c r="Y81" i="7"/>
  <c r="R81" i="7"/>
  <c r="Y89" i="7"/>
  <c r="R89" i="7"/>
  <c r="Y64" i="7"/>
  <c r="R64" i="7"/>
  <c r="Y72" i="7"/>
  <c r="R72" i="7"/>
  <c r="Y80" i="7"/>
  <c r="R80" i="7"/>
  <c r="Y88" i="7"/>
  <c r="R88" i="7"/>
  <c r="Y96" i="7"/>
  <c r="R96" i="7"/>
  <c r="R133" i="7"/>
  <c r="Y133" i="7"/>
  <c r="R139" i="7"/>
  <c r="Y139" i="7"/>
  <c r="Y150" i="7"/>
  <c r="R150" i="7"/>
  <c r="Y158" i="7"/>
  <c r="R158" i="7"/>
  <c r="Y180" i="7"/>
  <c r="R180" i="7"/>
  <c r="K22" i="8"/>
  <c r="J22" i="8"/>
  <c r="R72" i="4"/>
  <c r="U72" i="4"/>
  <c r="R112" i="4"/>
  <c r="U112" i="4"/>
  <c r="R129" i="6"/>
  <c r="Y129" i="6"/>
  <c r="R153" i="6"/>
  <c r="Y153" i="6"/>
  <c r="Y63" i="7"/>
  <c r="R63" i="7"/>
  <c r="Y173" i="7"/>
  <c r="R173" i="7"/>
  <c r="K9" i="8"/>
  <c r="J9" i="8"/>
  <c r="R68" i="4"/>
  <c r="U68" i="4"/>
  <c r="R84" i="4"/>
  <c r="U84" i="4"/>
  <c r="R100" i="4"/>
  <c r="U100" i="4"/>
  <c r="R116" i="4"/>
  <c r="U116" i="4"/>
  <c r="R141" i="4"/>
  <c r="U141" i="4"/>
  <c r="U153" i="4"/>
  <c r="R153" i="4"/>
  <c r="Y54" i="5"/>
  <c r="R54" i="5"/>
  <c r="Z54" i="5"/>
  <c r="Z13" i="5"/>
  <c r="Y13" i="5"/>
  <c r="R13" i="5"/>
  <c r="Z29" i="5"/>
  <c r="Y29" i="5"/>
  <c r="R29" i="5"/>
  <c r="Z45" i="5"/>
  <c r="Y45" i="5"/>
  <c r="R45" i="5"/>
  <c r="Z61" i="5"/>
  <c r="Y61" i="5"/>
  <c r="R61" i="5"/>
  <c r="Y60" i="6"/>
  <c r="R60" i="6"/>
  <c r="Y48" i="6"/>
  <c r="R48" i="6"/>
  <c r="Y94" i="6"/>
  <c r="R94" i="6"/>
  <c r="R70" i="6"/>
  <c r="Y70" i="6"/>
  <c r="R97" i="6"/>
  <c r="Y97" i="6"/>
  <c r="Y114" i="6"/>
  <c r="R114" i="6"/>
  <c r="R188" i="6"/>
  <c r="Y188" i="6"/>
  <c r="Y107" i="7"/>
  <c r="R107" i="7"/>
  <c r="Y138" i="7"/>
  <c r="R138" i="7"/>
  <c r="R134" i="7"/>
  <c r="Y134" i="7"/>
  <c r="Y147" i="7"/>
  <c r="R147" i="7"/>
  <c r="Y155" i="7"/>
  <c r="R155" i="7"/>
  <c r="Y163" i="7"/>
  <c r="R163" i="7"/>
  <c r="R189" i="7"/>
  <c r="Y189" i="7"/>
  <c r="Y193" i="7"/>
  <c r="R193" i="7"/>
  <c r="Z17" i="5"/>
  <c r="Y17" i="5"/>
  <c r="R17" i="5"/>
  <c r="Z65" i="5"/>
  <c r="Y65" i="5"/>
  <c r="R65" i="5"/>
  <c r="Y72" i="6"/>
  <c r="R72" i="6"/>
  <c r="R62" i="6"/>
  <c r="Y62" i="6"/>
  <c r="R145" i="6"/>
  <c r="Y145" i="6"/>
  <c r="U40" i="4"/>
  <c r="R40" i="4"/>
  <c r="R27" i="4"/>
  <c r="U27" i="4"/>
  <c r="U71" i="4"/>
  <c r="R71" i="4"/>
  <c r="U87" i="4"/>
  <c r="R87" i="4"/>
  <c r="U103" i="4"/>
  <c r="R103" i="4"/>
  <c r="U119" i="4"/>
  <c r="R119" i="4"/>
  <c r="Y18" i="6"/>
  <c r="R18" i="6"/>
  <c r="Y78" i="5"/>
  <c r="R78" i="5"/>
  <c r="Z78" i="5"/>
  <c r="Y47" i="6"/>
  <c r="R47" i="6"/>
  <c r="Y71" i="6"/>
  <c r="R71" i="6"/>
  <c r="Z77" i="5"/>
  <c r="Y77" i="5"/>
  <c r="R77" i="5"/>
  <c r="Y92" i="6"/>
  <c r="R92" i="6"/>
  <c r="Y10" i="7"/>
  <c r="R10" i="7"/>
  <c r="Y126" i="6"/>
  <c r="R126" i="6"/>
  <c r="Y158" i="6"/>
  <c r="R158" i="6"/>
  <c r="Y201" i="6"/>
  <c r="R201" i="6"/>
  <c r="R15" i="7"/>
  <c r="Y15" i="7"/>
  <c r="Y23" i="7"/>
  <c r="R23" i="7"/>
  <c r="Y101" i="7"/>
  <c r="R101" i="7"/>
  <c r="Y62" i="7"/>
  <c r="R62" i="7"/>
  <c r="Y70" i="7"/>
  <c r="R70" i="7"/>
  <c r="Y79" i="7"/>
  <c r="R79" i="7"/>
  <c r="Y87" i="7"/>
  <c r="R87" i="7"/>
  <c r="Y95" i="7"/>
  <c r="R95" i="7"/>
  <c r="Y175" i="7"/>
  <c r="R175" i="7"/>
  <c r="R188" i="7"/>
  <c r="Y188" i="7"/>
  <c r="R29" i="4"/>
  <c r="U29" i="4"/>
  <c r="R45" i="4"/>
  <c r="U45" i="4"/>
  <c r="R96" i="4"/>
  <c r="U96" i="4"/>
  <c r="U149" i="4"/>
  <c r="R149" i="4"/>
  <c r="R78" i="6"/>
  <c r="Y78" i="6"/>
  <c r="R121" i="6"/>
  <c r="Y121" i="6"/>
  <c r="R137" i="6"/>
  <c r="Y137" i="6"/>
  <c r="R161" i="6"/>
  <c r="Y161" i="6"/>
  <c r="R106" i="6"/>
  <c r="Y106" i="6"/>
  <c r="Y67" i="7"/>
  <c r="R67" i="7"/>
  <c r="Y149" i="7"/>
  <c r="R149" i="7"/>
  <c r="R183" i="7"/>
  <c r="Y183" i="7"/>
  <c r="Y194" i="7"/>
  <c r="R194" i="7"/>
  <c r="U83" i="4"/>
  <c r="R83" i="4"/>
  <c r="U36" i="4"/>
  <c r="R36" i="4"/>
  <c r="R66" i="4"/>
  <c r="U66" i="4"/>
  <c r="R98" i="4"/>
  <c r="U98" i="4"/>
  <c r="R114" i="4"/>
  <c r="U114" i="4"/>
  <c r="R130" i="4"/>
  <c r="U130" i="4"/>
  <c r="Y22" i="6"/>
  <c r="R22" i="6"/>
  <c r="Z23" i="5"/>
  <c r="Y23" i="5"/>
  <c r="R23" i="5"/>
  <c r="Y50" i="5"/>
  <c r="R50" i="5"/>
  <c r="Z50" i="5"/>
  <c r="R148" i="4"/>
  <c r="U148" i="4"/>
  <c r="Y35" i="6"/>
  <c r="R35" i="6"/>
  <c r="Y55" i="6"/>
  <c r="R55" i="6"/>
  <c r="Y91" i="6"/>
  <c r="R91" i="6"/>
  <c r="Y156" i="6"/>
  <c r="R156" i="6"/>
  <c r="Y174" i="6"/>
  <c r="R174" i="6"/>
  <c r="Y165" i="6"/>
  <c r="R165" i="6"/>
  <c r="Y16" i="7"/>
  <c r="R16" i="7"/>
  <c r="Y9" i="7"/>
  <c r="R9" i="7"/>
  <c r="Y17" i="7"/>
  <c r="R17" i="7"/>
  <c r="Y103" i="7"/>
  <c r="R103" i="7"/>
  <c r="Y166" i="7"/>
  <c r="R166" i="7"/>
  <c r="Y176" i="7"/>
  <c r="R176" i="7"/>
  <c r="U58" i="4"/>
  <c r="R58" i="4"/>
  <c r="U93" i="4"/>
  <c r="R93" i="4"/>
  <c r="Z12" i="5"/>
  <c r="Y12" i="5"/>
  <c r="R12" i="5"/>
  <c r="U138" i="4"/>
  <c r="R138" i="4"/>
  <c r="Z75" i="5"/>
  <c r="Y75" i="5"/>
  <c r="R75" i="5"/>
  <c r="Z33" i="5"/>
  <c r="Y33" i="5"/>
  <c r="R33" i="5"/>
  <c r="Z73" i="5"/>
  <c r="Y73" i="5"/>
  <c r="R73" i="5"/>
  <c r="Y120" i="6"/>
  <c r="R120" i="6"/>
  <c r="R136" i="7"/>
  <c r="Y136" i="7"/>
  <c r="Y165" i="7"/>
  <c r="R165" i="7"/>
  <c r="R182" i="7"/>
  <c r="Y182" i="7"/>
  <c r="R192" i="7"/>
  <c r="Y192" i="7"/>
  <c r="R11" i="4"/>
  <c r="U11" i="4"/>
  <c r="R21" i="4"/>
  <c r="U21" i="4"/>
  <c r="R9" i="4"/>
  <c r="U9" i="4"/>
  <c r="R19" i="4"/>
  <c r="U19" i="4"/>
  <c r="U48" i="4"/>
  <c r="R48" i="4"/>
  <c r="U52" i="4"/>
  <c r="R52" i="4"/>
  <c r="U56" i="4"/>
  <c r="R56" i="4"/>
  <c r="U60" i="4"/>
  <c r="R60" i="4"/>
  <c r="U73" i="4"/>
  <c r="R73" i="4"/>
  <c r="U89" i="4"/>
  <c r="R89" i="4"/>
  <c r="U105" i="4"/>
  <c r="R105" i="4"/>
  <c r="U121" i="4"/>
  <c r="R121" i="4"/>
  <c r="U34" i="4"/>
  <c r="R34" i="4"/>
  <c r="Y22" i="5"/>
  <c r="R22" i="5"/>
  <c r="Z22" i="5"/>
  <c r="Z59" i="5"/>
  <c r="Y59" i="5"/>
  <c r="R59" i="5"/>
  <c r="Y16" i="6"/>
  <c r="R16" i="6"/>
  <c r="Y88" i="6"/>
  <c r="R88" i="6"/>
  <c r="Y103" i="6"/>
  <c r="R103" i="6"/>
  <c r="Y128" i="6"/>
  <c r="R128" i="6"/>
  <c r="R90" i="6"/>
  <c r="Y90" i="6"/>
  <c r="Y162" i="6"/>
  <c r="R162" i="6"/>
  <c r="Y173" i="6"/>
  <c r="R173" i="6"/>
  <c r="Y189" i="6"/>
  <c r="R189" i="6"/>
  <c r="Y97" i="7"/>
  <c r="R97" i="7"/>
  <c r="Y61" i="7"/>
  <c r="R61" i="7"/>
  <c r="Y69" i="7"/>
  <c r="R69" i="7"/>
  <c r="Y172" i="7"/>
  <c r="R172" i="7"/>
  <c r="Y170" i="7"/>
  <c r="R170" i="7"/>
  <c r="U101" i="4"/>
  <c r="R101" i="4"/>
  <c r="R104" i="4"/>
  <c r="U104" i="4"/>
  <c r="Y38" i="5"/>
  <c r="R38" i="5"/>
  <c r="Z38" i="5"/>
  <c r="Y104" i="6"/>
  <c r="R104" i="6"/>
  <c r="Y122" i="6"/>
  <c r="R122" i="6"/>
  <c r="Y154" i="6"/>
  <c r="R154" i="6"/>
  <c r="Y98" i="7"/>
  <c r="R98" i="7"/>
  <c r="Y109" i="7"/>
  <c r="R109" i="7"/>
  <c r="Y157" i="7"/>
  <c r="R157" i="7"/>
  <c r="Y191" i="7"/>
  <c r="R191" i="7"/>
  <c r="U38" i="4"/>
  <c r="R38" i="4"/>
  <c r="E87" i="3"/>
  <c r="O93" i="3" s="1"/>
  <c r="E89" i="3"/>
  <c r="Y30" i="5"/>
  <c r="R30" i="5"/>
  <c r="Z30" i="5"/>
  <c r="Z79" i="5"/>
  <c r="R79" i="5"/>
  <c r="Y79" i="5"/>
  <c r="R70" i="4"/>
  <c r="U70" i="4"/>
  <c r="R86" i="4"/>
  <c r="U86" i="4"/>
  <c r="R102" i="4"/>
  <c r="U102" i="4"/>
  <c r="R118" i="4"/>
  <c r="U118" i="4"/>
  <c r="R133" i="4"/>
  <c r="U133" i="4"/>
  <c r="Y34" i="5"/>
  <c r="R34" i="5"/>
  <c r="Z34" i="5"/>
  <c r="R152" i="4"/>
  <c r="U152" i="4"/>
  <c r="Y79" i="6"/>
  <c r="R79" i="6"/>
  <c r="Y26" i="6"/>
  <c r="R26" i="6"/>
  <c r="Y59" i="6"/>
  <c r="R59" i="6"/>
  <c r="R58" i="6"/>
  <c r="Y58" i="6"/>
  <c r="Y108" i="6"/>
  <c r="R108" i="6"/>
  <c r="Y148" i="6"/>
  <c r="R148" i="6"/>
  <c r="Y182" i="6"/>
  <c r="R182" i="6"/>
  <c r="R192" i="6"/>
  <c r="Y192" i="6"/>
  <c r="Y82" i="7"/>
  <c r="R82" i="7"/>
  <c r="Y90" i="7"/>
  <c r="R90" i="7"/>
  <c r="R58" i="7"/>
  <c r="Y58" i="7"/>
  <c r="Y104" i="7"/>
  <c r="R104" i="7"/>
  <c r="Y141" i="7"/>
  <c r="R141" i="7"/>
  <c r="R135" i="7"/>
  <c r="Y135" i="7"/>
  <c r="Y144" i="7"/>
  <c r="R144" i="7"/>
  <c r="Y152" i="7"/>
  <c r="R152" i="7"/>
  <c r="Y160" i="7"/>
  <c r="R160" i="7"/>
  <c r="K8" i="8"/>
  <c r="J8" i="8"/>
  <c r="U32" i="4"/>
  <c r="R32" i="4"/>
  <c r="U62" i="4"/>
  <c r="R62" i="4"/>
  <c r="U85" i="4"/>
  <c r="R85" i="4"/>
  <c r="R154" i="4"/>
  <c r="U154" i="4"/>
  <c r="Z49" i="5"/>
  <c r="Y49" i="5"/>
  <c r="R49" i="5"/>
  <c r="Y44" i="6"/>
  <c r="R44" i="6"/>
  <c r="Y64" i="6"/>
  <c r="R64" i="6"/>
  <c r="Y181" i="6"/>
  <c r="R181" i="6"/>
  <c r="Y206" i="6"/>
  <c r="R206" i="6"/>
  <c r="Y105" i="7"/>
  <c r="R105" i="7"/>
  <c r="Y177" i="7"/>
  <c r="R177" i="7"/>
  <c r="U44" i="4"/>
  <c r="R44" i="4"/>
  <c r="U67" i="4"/>
  <c r="R67" i="4"/>
  <c r="Y14" i="5"/>
  <c r="R14" i="5"/>
  <c r="Z14" i="5"/>
  <c r="R82" i="4"/>
  <c r="U82" i="4"/>
  <c r="U28" i="4"/>
  <c r="R28" i="4"/>
  <c r="U75" i="4"/>
  <c r="R75" i="4"/>
  <c r="U91" i="4"/>
  <c r="R91" i="4"/>
  <c r="U107" i="4"/>
  <c r="R107" i="4"/>
  <c r="U123" i="4"/>
  <c r="R123" i="4"/>
  <c r="U132" i="4"/>
  <c r="R132" i="4"/>
  <c r="U142" i="4"/>
  <c r="R142" i="4"/>
  <c r="Z19" i="5"/>
  <c r="Y19" i="5"/>
  <c r="R19" i="5"/>
  <c r="Y46" i="5"/>
  <c r="R46" i="5"/>
  <c r="Z46" i="5"/>
  <c r="Y14" i="6"/>
  <c r="R14" i="6"/>
  <c r="U140" i="4"/>
  <c r="R140" i="4"/>
  <c r="Y26" i="5"/>
  <c r="R26" i="5"/>
  <c r="Z26" i="5"/>
  <c r="U155" i="4"/>
  <c r="R155" i="4"/>
  <c r="Z55" i="5"/>
  <c r="Y55" i="5"/>
  <c r="R55" i="5"/>
  <c r="Y67" i="6"/>
  <c r="R67" i="6"/>
  <c r="Y86" i="6"/>
  <c r="R86" i="6"/>
  <c r="Y43" i="6"/>
  <c r="R43" i="6"/>
  <c r="R66" i="6"/>
  <c r="Y66" i="6"/>
  <c r="Y100" i="6"/>
  <c r="R100" i="6"/>
  <c r="Y140" i="6"/>
  <c r="R140" i="6"/>
  <c r="Y134" i="6"/>
  <c r="R134" i="6"/>
  <c r="Y190" i="6"/>
  <c r="R190" i="6"/>
  <c r="R207" i="6"/>
  <c r="Y207" i="6"/>
  <c r="R168" i="6"/>
  <c r="Y168" i="6"/>
  <c r="R200" i="6"/>
  <c r="Y200" i="6"/>
  <c r="Y77" i="7"/>
  <c r="R77" i="7"/>
  <c r="Y85" i="7"/>
  <c r="R85" i="7"/>
  <c r="Y93" i="7"/>
  <c r="R93" i="7"/>
  <c r="Y68" i="7"/>
  <c r="R68" i="7"/>
  <c r="Y76" i="7"/>
  <c r="R76" i="7"/>
  <c r="Y84" i="7"/>
  <c r="R84" i="7"/>
  <c r="Y92" i="7"/>
  <c r="R92" i="7"/>
  <c r="Y142" i="7"/>
  <c r="R142" i="7"/>
  <c r="R137" i="7"/>
  <c r="Y137" i="7"/>
  <c r="Y146" i="7"/>
  <c r="R146" i="7"/>
  <c r="Y154" i="7"/>
  <c r="R154" i="7"/>
  <c r="Y162" i="7"/>
  <c r="R162" i="7"/>
  <c r="Y174" i="7"/>
  <c r="R174" i="7"/>
  <c r="AA6" i="12"/>
  <c r="T6" i="12"/>
  <c r="C7" i="12" s="1"/>
  <c r="R37" i="4"/>
  <c r="U37" i="4"/>
  <c r="R88" i="4"/>
  <c r="U88" i="4"/>
  <c r="R196" i="6"/>
  <c r="Y196" i="6"/>
  <c r="Y75" i="7"/>
  <c r="R75" i="7"/>
  <c r="AA3" i="12"/>
  <c r="T3" i="12"/>
  <c r="C4" i="12" s="1"/>
  <c r="R39" i="4"/>
  <c r="U39" i="4"/>
  <c r="R76" i="4"/>
  <c r="U76" i="4"/>
  <c r="R92" i="4"/>
  <c r="U92" i="4"/>
  <c r="R108" i="4"/>
  <c r="U108" i="4"/>
  <c r="R124" i="4"/>
  <c r="U124" i="4"/>
  <c r="U145" i="4"/>
  <c r="R145" i="4"/>
  <c r="Z27" i="5"/>
  <c r="Y27" i="5"/>
  <c r="R27" i="5"/>
  <c r="R150" i="4"/>
  <c r="U150" i="4"/>
  <c r="Z21" i="5"/>
  <c r="Y21" i="5"/>
  <c r="R21" i="5"/>
  <c r="Z37" i="5"/>
  <c r="Y37" i="5"/>
  <c r="R37" i="5"/>
  <c r="Z53" i="5"/>
  <c r="Y53" i="5"/>
  <c r="R53" i="5"/>
  <c r="Z69" i="5"/>
  <c r="Y69" i="5"/>
  <c r="R69" i="5"/>
  <c r="R11" i="6"/>
  <c r="Y11" i="6"/>
  <c r="Y56" i="6"/>
  <c r="R56" i="6"/>
  <c r="Y34" i="6"/>
  <c r="R34" i="6"/>
  <c r="Y24" i="6"/>
  <c r="R24" i="6"/>
  <c r="Y80" i="6"/>
  <c r="R80" i="6"/>
  <c r="R54" i="6"/>
  <c r="Y54" i="6"/>
  <c r="Y146" i="6"/>
  <c r="R146" i="6"/>
  <c r="R172" i="6"/>
  <c r="Y172" i="6"/>
  <c r="R204" i="6"/>
  <c r="Y204" i="6"/>
  <c r="Y108" i="7"/>
  <c r="R108" i="7"/>
  <c r="Y143" i="7"/>
  <c r="R143" i="7"/>
  <c r="Y151" i="7"/>
  <c r="R151" i="7"/>
  <c r="Y159" i="7"/>
  <c r="R159" i="7"/>
  <c r="R185" i="7"/>
  <c r="Y185" i="7"/>
  <c r="Y178" i="7"/>
  <c r="R178" i="7"/>
  <c r="Y179" i="7"/>
  <c r="R179" i="7"/>
  <c r="Z41" i="5"/>
  <c r="Y41" i="5"/>
  <c r="R41" i="5"/>
  <c r="Y40" i="6"/>
  <c r="R40" i="6"/>
  <c r="Y76" i="6"/>
  <c r="R76" i="6"/>
  <c r="R85" i="6"/>
  <c r="Y85" i="6"/>
  <c r="R180" i="6"/>
  <c r="Y180" i="6"/>
  <c r="Y71" i="7"/>
  <c r="R71" i="7"/>
  <c r="Y169" i="7"/>
  <c r="R169" i="7"/>
  <c r="U30" i="4"/>
  <c r="R30" i="4"/>
  <c r="U79" i="4"/>
  <c r="R79" i="4"/>
  <c r="U95" i="4"/>
  <c r="R95" i="4"/>
  <c r="U111" i="4"/>
  <c r="R111" i="4"/>
  <c r="U127" i="4"/>
  <c r="R127" i="4"/>
  <c r="U42" i="4"/>
  <c r="R42" i="4"/>
  <c r="Z35" i="5"/>
  <c r="Y35" i="5"/>
  <c r="R35" i="5"/>
  <c r="Y62" i="5"/>
  <c r="R62" i="5"/>
  <c r="Z62" i="5"/>
  <c r="Z15" i="5"/>
  <c r="Y15" i="5"/>
  <c r="R15" i="5"/>
  <c r="Y42" i="5"/>
  <c r="R42" i="5"/>
  <c r="Z42" i="5"/>
  <c r="Y20" i="6"/>
  <c r="R20" i="6"/>
  <c r="U151" i="4"/>
  <c r="R151" i="4"/>
  <c r="Z39" i="5"/>
  <c r="Y39" i="5"/>
  <c r="R39" i="5"/>
  <c r="Y66" i="5"/>
  <c r="R66" i="5"/>
  <c r="Z66" i="5"/>
  <c r="Y31" i="6"/>
  <c r="R31" i="6"/>
  <c r="Y51" i="6"/>
  <c r="R51" i="6"/>
  <c r="Y32" i="6"/>
  <c r="R32" i="6"/>
  <c r="Y99" i="6"/>
  <c r="R99" i="6"/>
  <c r="Y132" i="6"/>
  <c r="R132" i="6"/>
  <c r="R98" i="6"/>
  <c r="Y98" i="6"/>
  <c r="Y142" i="6"/>
  <c r="R142" i="6"/>
  <c r="Y169" i="6"/>
  <c r="R169" i="6"/>
  <c r="Y198" i="6"/>
  <c r="R198" i="6"/>
  <c r="R11" i="7"/>
  <c r="Y11" i="7"/>
  <c r="R19" i="7"/>
  <c r="Y19" i="7"/>
  <c r="Y66" i="7"/>
  <c r="R66" i="7"/>
  <c r="Y74" i="7"/>
  <c r="R74" i="7"/>
  <c r="Y83" i="7"/>
  <c r="R83" i="7"/>
  <c r="Y91" i="7"/>
  <c r="R91" i="7"/>
  <c r="Y168" i="7"/>
  <c r="R168" i="7"/>
  <c r="R184" i="7"/>
  <c r="Y184" i="7"/>
  <c r="J13" i="8"/>
  <c r="K13" i="8" s="1"/>
  <c r="R17" i="4"/>
  <c r="U17" i="4"/>
  <c r="R47" i="4"/>
  <c r="U47" i="4"/>
  <c r="R80" i="4"/>
  <c r="U80" i="4"/>
  <c r="R120" i="4"/>
  <c r="U120" i="4"/>
  <c r="R46" i="6"/>
  <c r="Y46" i="6"/>
  <c r="R113" i="6"/>
  <c r="Y113" i="6"/>
  <c r="Y161" i="7"/>
  <c r="R161" i="7"/>
  <c r="R186" i="7"/>
  <c r="Y186" i="7"/>
  <c r="Y195" i="7"/>
  <c r="R195" i="7"/>
  <c r="N4" i="12" l="1"/>
  <c r="M4" i="12"/>
  <c r="G4" i="12"/>
  <c r="O4" i="12"/>
  <c r="O7" i="12"/>
  <c r="M7" i="12"/>
  <c r="G7" i="12"/>
  <c r="N7" i="12"/>
  <c r="U7" i="12" l="1"/>
  <c r="W7" i="12" s="1"/>
  <c r="Y7" i="12" s="1"/>
  <c r="P7" i="12"/>
  <c r="Q7" i="12" s="1"/>
  <c r="R7" i="12" s="1"/>
  <c r="S7" i="12" s="1"/>
  <c r="P4" i="12"/>
  <c r="Q4" i="12" s="1"/>
  <c r="R4" i="12" s="1"/>
  <c r="S4" i="12" s="1"/>
  <c r="U4" i="12"/>
  <c r="W4" i="12" s="1"/>
  <c r="Y4" i="12" s="1"/>
  <c r="J7" i="12"/>
  <c r="J4" i="12"/>
  <c r="AA4" i="12" l="1"/>
  <c r="T4" i="12"/>
  <c r="AA7" i="12"/>
  <c r="T7" i="12"/>
</calcChain>
</file>

<file path=xl/sharedStrings.xml><?xml version="1.0" encoding="utf-8"?>
<sst xmlns="http://schemas.openxmlformats.org/spreadsheetml/2006/main" count="1320" uniqueCount="348">
  <si>
    <t>Марка</t>
  </si>
  <si>
    <t>Схема скрутки</t>
  </si>
  <si>
    <t>МВВнг(А)-LS</t>
  </si>
  <si>
    <t>37х0,5</t>
  </si>
  <si>
    <t>Длина, км</t>
  </si>
  <si>
    <t>МВВнг(А)-LS 8х0,5</t>
  </si>
  <si>
    <t>МВВнг(А)-LS 37х0,5</t>
  </si>
  <si>
    <t>Марка кабеля</t>
  </si>
  <si>
    <t>Сечение жилы</t>
  </si>
  <si>
    <t>Скрутка 2/3/4</t>
  </si>
  <si>
    <t>Скруток в пучке</t>
  </si>
  <si>
    <t>Длина кабеля</t>
  </si>
  <si>
    <t>Кабель</t>
  </si>
  <si>
    <t>км</t>
  </si>
  <si>
    <t>Конструкция жилы</t>
  </si>
  <si>
    <t>мм2</t>
  </si>
  <si>
    <t>Число проволок в жиле</t>
  </si>
  <si>
    <t>Коэффициент укрутки жилы</t>
  </si>
  <si>
    <t>Коэффициент укрутки в кабель</t>
  </si>
  <si>
    <t>Диаметр проволоки</t>
  </si>
  <si>
    <t>мм</t>
  </si>
  <si>
    <t>Диаметр жилы</t>
  </si>
  <si>
    <t>Количество жил</t>
  </si>
  <si>
    <t>Масса одной жилы</t>
  </si>
  <si>
    <t>кг/км</t>
  </si>
  <si>
    <t>Масса меди жил кабеля</t>
  </si>
  <si>
    <t>Масса олова в жиле</t>
  </si>
  <si>
    <t>Слюдяная лента</t>
  </si>
  <si>
    <t>Толщина 1-ой ленты</t>
  </si>
  <si>
    <t>Ширина 1-ой ленты</t>
  </si>
  <si>
    <t>Масса первой ленты</t>
  </si>
  <si>
    <t>Толщина 2-ой ленты</t>
  </si>
  <si>
    <t>Ширина 2-ой ленты</t>
  </si>
  <si>
    <t>Масса второй ленты ленты</t>
  </si>
  <si>
    <t>Диаметр по слюдяной ленте</t>
  </si>
  <si>
    <t>Изоляция жилы</t>
  </si>
  <si>
    <t>Толщина изоляции</t>
  </si>
  <si>
    <t>Плотность изоляции</t>
  </si>
  <si>
    <t>г/см3</t>
  </si>
  <si>
    <t>Технологический коэффициент</t>
  </si>
  <si>
    <t>Масса изоляции жилы</t>
  </si>
  <si>
    <t>Масса изоляции кабеля</t>
  </si>
  <si>
    <t>Краситель для изоляции</t>
  </si>
  <si>
    <t>Диаметр по изоляции</t>
  </si>
  <si>
    <t>Скрутка пар/троек/четвёрок</t>
  </si>
  <si>
    <t>NA</t>
  </si>
  <si>
    <t>Эквивалентный диаметр</t>
  </si>
  <si>
    <t>Индивидуальный экран из алюмофлекса</t>
  </si>
  <si>
    <t>Толщина фольги</t>
  </si>
  <si>
    <t>Ширина фольги</t>
  </si>
  <si>
    <t>Шаг наложения фольги</t>
  </si>
  <si>
    <t>Радиальная толщина фольги</t>
  </si>
  <si>
    <t>Коэффициент перекрытия слоя</t>
  </si>
  <si>
    <t>%</t>
  </si>
  <si>
    <t>Плотность материала фольги</t>
  </si>
  <si>
    <t>г/см³</t>
  </si>
  <si>
    <t>Диаметр сердечника по экрану</t>
  </si>
  <si>
    <t>Масса одного экрана</t>
  </si>
  <si>
    <t>Масса экранов в кабеле</t>
  </si>
  <si>
    <t>Масса меди контактного проводника в кабеле</t>
  </si>
  <si>
    <t>Масса олова контактного проводника в кабеле</t>
  </si>
  <si>
    <t>Наложение ПЭТ ленты</t>
  </si>
  <si>
    <t>Толщина ПЭТ-Э ленты</t>
  </si>
  <si>
    <t>Ширина ПЭТ-Э ленты</t>
  </si>
  <si>
    <t>Шаг наложения ПЭТ-Э ленты</t>
  </si>
  <si>
    <t>Радиальная толщина плёнки</t>
  </si>
  <si>
    <t>Плотность ПЭТ-Э</t>
  </si>
  <si>
    <t>Диаметр сердечника по ПЭТ-Э ленте</t>
  </si>
  <si>
    <t>Масса ПЭТ-Э ленты в экране</t>
  </si>
  <si>
    <t>Скрутка сердечника</t>
  </si>
  <si>
    <t>Общий экран из алюмофлекса</t>
  </si>
  <si>
    <t>Масса экрана</t>
  </si>
  <si>
    <t>Наложение заполнения</t>
  </si>
  <si>
    <t>Толщина заполнения</t>
  </si>
  <si>
    <t>Коэффициент по заполнению</t>
  </si>
  <si>
    <t>Плотность материала заполнения</t>
  </si>
  <si>
    <t>Диаметр по заполнению</t>
  </si>
  <si>
    <t>Масса заполнения</t>
  </si>
  <si>
    <t>Броня в виде повива</t>
  </si>
  <si>
    <t>Диаметр стальной проволоки</t>
  </si>
  <si>
    <t>Шаг обмотки</t>
  </si>
  <si>
    <t>Радиальная толщина обмотки</t>
  </si>
  <si>
    <t>Плотность материала проволок</t>
  </si>
  <si>
    <t>Диаметр кабеля по броне</t>
  </si>
  <si>
    <t>Масса стальной проволоки</t>
  </si>
  <si>
    <t>Оболочка</t>
  </si>
  <si>
    <t>Толщина оболочки</t>
  </si>
  <si>
    <t>Плотность материала оболочки</t>
  </si>
  <si>
    <t>Масса оболочки</t>
  </si>
  <si>
    <t>Краситель для оболочки</t>
  </si>
  <si>
    <t>Диаметр по оболочке</t>
  </si>
  <si>
    <t>Медня проволока 0,30мм [кг/км]</t>
  </si>
  <si>
    <t>Медня проволока 0,26мм [кг/км]</t>
  </si>
  <si>
    <t>Олово для жилы [кг/км]</t>
  </si>
  <si>
    <t>Медня проволока 0,20мм [кг/км]</t>
  </si>
  <si>
    <t>Олово для контактного проводника [кг/км]</t>
  </si>
  <si>
    <t>Слюдяная лента [кг/км]</t>
  </si>
  <si>
    <t>Сшитый полиэтилен [кг/км]</t>
  </si>
  <si>
    <t>ПВХ Элигран [кг/км]</t>
  </si>
  <si>
    <t>Алюмофлекс [кг/км]</t>
  </si>
  <si>
    <t>ПЭТ-Э 20мкм [кг/км]</t>
  </si>
  <si>
    <t>ПЭТ-Э 50мкм [кг/км]</t>
  </si>
  <si>
    <t>Стальные Zn проволоки 0,30мм [кг/км]</t>
  </si>
  <si>
    <t>Краситель [кг/км]</t>
  </si>
  <si>
    <t>Броня из стальных оцинкованных проволок выполненная методом повива</t>
  </si>
  <si>
    <t>К</t>
  </si>
  <si>
    <t>диаметр под операцию, мм</t>
  </si>
  <si>
    <t>материал ПРОВОЛОКИ</t>
  </si>
  <si>
    <t>толщина ПРОВОЛОКИ, мм</t>
  </si>
  <si>
    <t>ширина ПРОВОЛОКИ, мм</t>
  </si>
  <si>
    <t>диаметр средний, мм</t>
  </si>
  <si>
    <t>требуемое перекрытие, % ВХОДНЫЕ ДАННЫЕ</t>
  </si>
  <si>
    <t>коэффициент перекрытия</t>
  </si>
  <si>
    <t>шаг обмотки(расч), мм</t>
  </si>
  <si>
    <t>шаг обмотки, мм</t>
  </si>
  <si>
    <t>радиальная толщина пленки кружка, мм</t>
  </si>
  <si>
    <t xml:space="preserve"> диаметр по обмотке,мм</t>
  </si>
  <si>
    <t xml:space="preserve"> угол обмотки, ° </t>
  </si>
  <si>
    <t>tg угла обмотки</t>
  </si>
  <si>
    <t>COS угла обмотки</t>
  </si>
  <si>
    <t>перекрытие, 0 % при плотности не менее 90 %</t>
  </si>
  <si>
    <t>радиальная толщина ОБМОТКИ, с уч перекр. мм</t>
  </si>
  <si>
    <t>диаметр по обмотке (с уч. Пкр.), мм</t>
  </si>
  <si>
    <t xml:space="preserve">SIN угла обмотки </t>
  </si>
  <si>
    <t>уд плотность , г/см3</t>
  </si>
  <si>
    <t>масса, кг/км</t>
  </si>
  <si>
    <t>Ø</t>
  </si>
  <si>
    <t>t</t>
  </si>
  <si>
    <t>b</t>
  </si>
  <si>
    <t>Øср=Ø+d</t>
  </si>
  <si>
    <t>С</t>
  </si>
  <si>
    <t>Kc=100/(100-C)</t>
  </si>
  <si>
    <t>H=π*Øср*tga</t>
  </si>
  <si>
    <t>H</t>
  </si>
  <si>
    <t>d=2*t</t>
  </si>
  <si>
    <t>Øобм=Ø+2d</t>
  </si>
  <si>
    <t>a=аtg(tga*3,14/180)</t>
  </si>
  <si>
    <t>tga=H/π*Øср</t>
  </si>
  <si>
    <t>СOSa=cos(a*π/180)</t>
  </si>
  <si>
    <t>C=(b-H*COSa)/b*100</t>
  </si>
  <si>
    <t>d=Кс*t</t>
  </si>
  <si>
    <t>Øобм=Ø+Кс*d</t>
  </si>
  <si>
    <t>SINa=SIN(a*π/180)</t>
  </si>
  <si>
    <t>сталь оцинк</t>
  </si>
  <si>
    <t>Экран из медно или алюмофольгированного материала выполненных методом обмотки</t>
  </si>
  <si>
    <t>Иаф</t>
  </si>
  <si>
    <t>Имф</t>
  </si>
  <si>
    <t>Эаф</t>
  </si>
  <si>
    <t>Эмф</t>
  </si>
  <si>
    <t>материал пленки</t>
  </si>
  <si>
    <t>толщина пленки, мм</t>
  </si>
  <si>
    <t>ширина пленки, мм</t>
  </si>
  <si>
    <t xml:space="preserve"> угол обмотки, ° 40-60</t>
  </si>
  <si>
    <t>перекрытие, % не менее 25 %</t>
  </si>
  <si>
    <t>радиальная толщина пленки кружка, с уч перекр. мм</t>
  </si>
  <si>
    <t>метраж</t>
  </si>
  <si>
    <t>мин длина пленки на кружке, м</t>
  </si>
  <si>
    <t>мин радиус кружка, мм</t>
  </si>
  <si>
    <t>диаметр кружка, мм</t>
  </si>
  <si>
    <t>масса алюминиевой ленты, кг/км</t>
  </si>
  <si>
    <t>масса медной ленты, кг/км</t>
  </si>
  <si>
    <t>вручную</t>
  </si>
  <si>
    <t>L=метраж /sin a</t>
  </si>
  <si>
    <t>const</t>
  </si>
  <si>
    <t>=2*КОРЕНЬ((1000*L*t/π)+(r*r))</t>
  </si>
  <si>
    <t>алюмофлекс/медная фольга</t>
  </si>
  <si>
    <t>Плёнка ПЭТ-Э</t>
  </si>
  <si>
    <t>ПЭТ-Э</t>
  </si>
  <si>
    <t>Длина [км]</t>
  </si>
  <si>
    <t>№ п/п</t>
  </si>
  <si>
    <t>Операция</t>
  </si>
  <si>
    <t>Количество [кг]</t>
  </si>
  <si>
    <t>Время на операцию [ч]</t>
  </si>
  <si>
    <t>Амортизация оборудования [тыс. руб]</t>
  </si>
  <si>
    <t>Электроэнергия [тыс. руб]</t>
  </si>
  <si>
    <t>Стоимость труда [тыс. руб]</t>
  </si>
  <si>
    <t>Стоимость занимаемой площади [тыс. руб]</t>
  </si>
  <si>
    <t>Накладные расходы [тыс.руб]</t>
  </si>
  <si>
    <t>Всего [тыс. руб]</t>
  </si>
  <si>
    <t>Лужение катанки 8мм</t>
  </si>
  <si>
    <t>Грубое волочение ЛММ 8--&gt;1,20мм</t>
  </si>
  <si>
    <t>Тонкое волочение ЛММ 1,20--&gt;0,3</t>
  </si>
  <si>
    <t>Тонкое волочение ЛММ 1,20--&gt;0,20</t>
  </si>
  <si>
    <t>Скрутка ММЛ для жил кабеля</t>
  </si>
  <si>
    <t>Скрутка ММЛ на контактный проводник</t>
  </si>
  <si>
    <t>Обмотка слюдяной лентой</t>
  </si>
  <si>
    <t>Нанесение изоляции на жилу</t>
  </si>
  <si>
    <t>Наложение индивидуального экрана из Алюмофлекс</t>
  </si>
  <si>
    <t>Наложение ПЭТ ленты на индивидуальные экраны</t>
  </si>
  <si>
    <t>Наложение ПЭТ ленты на сердечник</t>
  </si>
  <si>
    <t>Наложение общего экрана из Алюмофлекс</t>
  </si>
  <si>
    <t>Наложение брони в виде повива</t>
  </si>
  <si>
    <t>Наложение оболочки</t>
  </si>
  <si>
    <t>УТВЕРЖДАЮ</t>
  </si>
  <si>
    <t xml:space="preserve">Технический директор </t>
  </si>
  <si>
    <t>НП "ПодольскКабель"</t>
  </si>
  <si>
    <t>К.А. Шутов</t>
  </si>
  <si>
    <t>'___'' _______________2021 г.</t>
  </si>
  <si>
    <t>Разовый  ордер</t>
  </si>
  <si>
    <t>№ ордера</t>
  </si>
  <si>
    <t>Лист 1</t>
  </si>
  <si>
    <t>Наименование материалов,</t>
  </si>
  <si>
    <t>Констр. жилы,</t>
  </si>
  <si>
    <t>Диаметр,</t>
  </si>
  <si>
    <t>Расход матер.,</t>
  </si>
  <si>
    <t>элементы конструкции</t>
  </si>
  <si>
    <t>рад. толщина,</t>
  </si>
  <si>
    <t>ТПЖ многопроволочная медная лужёная сечением 0,5мм²</t>
  </si>
  <si>
    <t>7x0,3</t>
  </si>
  <si>
    <t>Олово О1</t>
  </si>
  <si>
    <t>Изоляция: ПВХ Элигран 1110/2</t>
  </si>
  <si>
    <t>-</t>
  </si>
  <si>
    <t>Обмотка лентой ПЭТ-Э</t>
  </si>
  <si>
    <t>Толщина ленты: 0,02мм; ширина ленты: 50мм</t>
  </si>
  <si>
    <t>Наложение защитной оболочки</t>
  </si>
  <si>
    <t>Оболочка из Элегран 2110/2</t>
  </si>
  <si>
    <t>Масса кабеля [кг/км]:</t>
  </si>
  <si>
    <t>Наименование изготовителя; год выпуска; номер ТУ; марка кабеля; наименование страны изготовителя</t>
  </si>
  <si>
    <t>Взамен</t>
  </si>
  <si>
    <t>Подписи:</t>
  </si>
  <si>
    <t>новый</t>
  </si>
  <si>
    <t>Составил:</t>
  </si>
  <si>
    <t>Главный технолог:</t>
  </si>
  <si>
    <t>Начальник тех бюро:</t>
  </si>
  <si>
    <t>Cu8</t>
  </si>
  <si>
    <t>Sn</t>
  </si>
  <si>
    <t>MICT</t>
  </si>
  <si>
    <t>CLPE</t>
  </si>
  <si>
    <t>PVC 1110/2</t>
  </si>
  <si>
    <t>ALT</t>
  </si>
  <si>
    <t>PET20</t>
  </si>
  <si>
    <t>PET50</t>
  </si>
  <si>
    <t>ZW</t>
  </si>
  <si>
    <t>INSCOL</t>
  </si>
  <si>
    <t>Длина кабеля [км]</t>
  </si>
  <si>
    <t>Стоиость материалов [тыс.руб]</t>
  </si>
  <si>
    <t>Стоимость изготовления [тыс.руб]</t>
  </si>
  <si>
    <t>Наименование</t>
  </si>
  <si>
    <t>ID</t>
  </si>
  <si>
    <t>Начальное количество, кг</t>
  </si>
  <si>
    <t>Оставшееся количество, кг</t>
  </si>
  <si>
    <t>Цена, тыс. руб</t>
  </si>
  <si>
    <t>Цена, тыс. руб/кг</t>
  </si>
  <si>
    <t>Медная катанка d=8мм</t>
  </si>
  <si>
    <t>Олово</t>
  </si>
  <si>
    <t>ПВХ Элигран 1110/2</t>
  </si>
  <si>
    <t>Водоблокирующая пластиковая лента</t>
  </si>
  <si>
    <t>WRT</t>
  </si>
  <si>
    <t>Алюмофлекс</t>
  </si>
  <si>
    <t>Лента ПЭТ 50мкм</t>
  </si>
  <si>
    <t>Лента ПЭТ 20мкм</t>
  </si>
  <si>
    <t>Сшитый полиэтилен 102-57</t>
  </si>
  <si>
    <t>Оцинкованная проволока</t>
  </si>
  <si>
    <t>перекрытие, % не менее 40 %</t>
  </si>
  <si>
    <t>элмикатекс или 2м</t>
  </si>
  <si>
    <t>Рассчёт массы материалов</t>
  </si>
  <si>
    <t>https://en.wikipedia.org/wiki/Circle_packing_in_a_circle</t>
  </si>
  <si>
    <t>Количество стренг или жил</t>
  </si>
  <si>
    <t>*</t>
  </si>
  <si>
    <t>Скрутка_1</t>
  </si>
  <si>
    <t>Скрутка_2</t>
  </si>
  <si>
    <t>МПсЭфКВЭфнг(А)-FRLS</t>
  </si>
  <si>
    <t>2х(2х1,0)</t>
  </si>
  <si>
    <t>2х0,5</t>
  </si>
  <si>
    <t>3х(2х1,0)</t>
  </si>
  <si>
    <t>3х0,5</t>
  </si>
  <si>
    <t>4х(2х1,0)</t>
  </si>
  <si>
    <t>4х0,5</t>
  </si>
  <si>
    <t>5х(2х1,0)</t>
  </si>
  <si>
    <t>5х0,5</t>
  </si>
  <si>
    <t>6х(2х1,0)</t>
  </si>
  <si>
    <t>6х0,5</t>
  </si>
  <si>
    <t>7х(2х1,0)</t>
  </si>
  <si>
    <t>7х0,5</t>
  </si>
  <si>
    <t>8х(2х1,0)</t>
  </si>
  <si>
    <t>8х0,5</t>
  </si>
  <si>
    <t>9х(2х1,0)</t>
  </si>
  <si>
    <t>9х0,5</t>
  </si>
  <si>
    <t>10х(2х1,0)</t>
  </si>
  <si>
    <t>10х0,5</t>
  </si>
  <si>
    <t>12х(2х1,0)</t>
  </si>
  <si>
    <t>11х0,5</t>
  </si>
  <si>
    <t>14х(2х1,0)</t>
  </si>
  <si>
    <t>12х0,5</t>
  </si>
  <si>
    <t>16х(2х1,0)</t>
  </si>
  <si>
    <t>13х0,5</t>
  </si>
  <si>
    <t>19х(2х1,0)</t>
  </si>
  <si>
    <t>14х0,5</t>
  </si>
  <si>
    <t>20х(2х1,0)</t>
  </si>
  <si>
    <t>16х0,5</t>
  </si>
  <si>
    <t>19х0,5</t>
  </si>
  <si>
    <t>20х0,5</t>
  </si>
  <si>
    <t>22х0,5</t>
  </si>
  <si>
    <t>24х0,5</t>
  </si>
  <si>
    <t>25х0,5</t>
  </si>
  <si>
    <t>27х0,5</t>
  </si>
  <si>
    <t>30х0,5</t>
  </si>
  <si>
    <t>52х0,5</t>
  </si>
  <si>
    <t>Начальная версия
Созданы листы:
Оборудование
Персонал
Материалы</t>
  </si>
  <si>
    <t>ИТОГО</t>
  </si>
  <si>
    <t>Условное обозначение</t>
  </si>
  <si>
    <t>Коэффициент загрузки, %</t>
  </si>
  <si>
    <t>Занимаемая площадь, м2</t>
  </si>
  <si>
    <t>Потребляемая мощность, кВт</t>
  </si>
  <si>
    <t>Остаточная стоимость, тыс. руб</t>
  </si>
  <si>
    <t>Срок окупаемости, мес</t>
  </si>
  <si>
    <t>Стоимость работы, тыс.руб/час</t>
  </si>
  <si>
    <t>Установка лужения</t>
  </si>
  <si>
    <t>E001A</t>
  </si>
  <si>
    <t>Машина грубого волочения волочения</t>
  </si>
  <si>
    <t>E001B</t>
  </si>
  <si>
    <t xml:space="preserve">Пресс для наложения изоляции/оболочки ПВХ </t>
  </si>
  <si>
    <t>E001С</t>
  </si>
  <si>
    <t>Скруточная машина</t>
  </si>
  <si>
    <t>E001D</t>
  </si>
  <si>
    <t>Машина среднего волочения волочения</t>
  </si>
  <si>
    <t>E002B</t>
  </si>
  <si>
    <t>Обмоточная машина</t>
  </si>
  <si>
    <t>E001E</t>
  </si>
  <si>
    <t>Оплёточная машина</t>
  </si>
  <si>
    <t>E001F</t>
  </si>
  <si>
    <t>Скорость оплётки, м/мин</t>
  </si>
  <si>
    <t>Стоимость аренды площади машины обмотки, тыс.руб/ч</t>
  </si>
  <si>
    <t>Скорость обмотки, м/мин</t>
  </si>
  <si>
    <t>Скорость скрутки ММЛ [м/мин]</t>
  </si>
  <si>
    <t>Скорсоть скрутки жил [м/мин]</t>
  </si>
  <si>
    <t>Стоимость аренды площади ММЛ, тыс.руб/ч</t>
  </si>
  <si>
    <t>Скорость нанесения изоляции на жилу, м/мин</t>
  </si>
  <si>
    <t>Скорость нанесения изоляции на оболочку/заполнение, м/мин</t>
  </si>
  <si>
    <t>Стоимость аренды площади экструдера, тыс.руб/ч</t>
  </si>
  <si>
    <t>Машина сренднего волочения волочения</t>
  </si>
  <si>
    <t>Скорость изготовления, м/мин</t>
  </si>
  <si>
    <t>Конечный диаметр, мм</t>
  </si>
  <si>
    <t>Производительность, кг/мес</t>
  </si>
  <si>
    <t>Стоимость аренды площади, тыс.руб/кг</t>
  </si>
  <si>
    <t>ЗП, тыс руб/мес</t>
  </si>
  <si>
    <t>ФОТ</t>
  </si>
  <si>
    <t>ЗП, тыс руб/час</t>
  </si>
  <si>
    <t>Скрутчик</t>
  </si>
  <si>
    <t>P001A</t>
  </si>
  <si>
    <t>Волочильщик/лудильщик</t>
  </si>
  <si>
    <t>P002A</t>
  </si>
  <si>
    <t>Оппресовщик</t>
  </si>
  <si>
    <t>P003A</t>
  </si>
  <si>
    <t>Обмотчик/Оплётчик</t>
  </si>
  <si>
    <t>P004A</t>
  </si>
  <si>
    <t>Контролёр ОК</t>
  </si>
  <si>
    <t>P005B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</si>
</sst>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20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8"/>
      <name val="Arial"/>
      <family val="2"/>
      <charset val="204"/>
    </font>
    <font>
      <sz val="10"/>
      <name val="Arial"/>
      <family val="2"/>
      <charset val="204"/>
    </font>
    <font>
      <b/>
      <sz val="8"/>
      <name val="Arial"/>
      <family val="2"/>
      <charset val="204"/>
    </font>
    <font>
      <b/>
      <sz val="8"/>
      <name val="Arial Cyr"/>
      <charset val="204"/>
    </font>
    <font>
      <b/>
      <sz val="8"/>
      <name val="GreekC"/>
      <charset val="204"/>
    </font>
    <font>
      <b/>
      <sz val="10"/>
      <name val="Arial"/>
      <family val="2"/>
      <charset val="204"/>
    </font>
    <font>
      <b/>
      <sz val="11"/>
      <color indexed="8"/>
      <name val="Calibri"/>
      <family val="2"/>
      <charset val="204"/>
    </font>
    <font>
      <b/>
      <sz val="10"/>
      <color theme="1"/>
      <name val="Calibri"/>
      <family val="2"/>
      <charset val="204"/>
      <scheme val="minor"/>
    </font>
    <font>
      <sz val="12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u/>
      <sz val="11"/>
      <color theme="1"/>
      <name val="Arial"/>
      <family val="2"/>
      <charset val="204"/>
    </font>
    <font>
      <sz val="11"/>
      <color rgb="FF00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theme="0" tint="-0.499984740745262"/>
      </left>
      <right style="thick">
        <color theme="0" tint="-0.499984740745262"/>
      </right>
      <top style="thick">
        <color theme="0" tint="-0.499984740745262"/>
      </top>
      <bottom style="thick">
        <color theme="0" tint="-0.499984740745262"/>
      </bottom>
      <diagonal/>
    </border>
    <border>
      <left/>
      <right/>
      <top style="thick">
        <color theme="0" tint="-0.499984740745262"/>
      </top>
      <bottom/>
      <diagonal/>
    </border>
    <border>
      <left/>
      <right style="thick">
        <color theme="0" tint="-0.499984740745262"/>
      </right>
      <top style="thick">
        <color theme="0" tint="-0.499984740745262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/>
      <top/>
      <bottom style="thick">
        <color theme="0" tint="-0.499984740745262"/>
      </bottom>
      <diagonal/>
    </border>
    <border>
      <left/>
      <right style="thick">
        <color theme="0" tint="-0.499984740745262"/>
      </right>
      <top/>
      <bottom style="thick">
        <color theme="0" tint="-0.499984740745262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/>
      <top style="thick">
        <color indexed="64"/>
      </top>
      <bottom style="thin">
        <color auto="1"/>
      </bottom>
      <diagonal/>
    </border>
    <border>
      <left/>
      <right style="thin">
        <color auto="1"/>
      </right>
      <top style="thick">
        <color indexed="64"/>
      </top>
      <bottom style="thin">
        <color auto="1"/>
      </bottom>
      <diagonal/>
    </border>
    <border>
      <left/>
      <right style="thick">
        <color indexed="64"/>
      </right>
      <top style="thick">
        <color indexed="64"/>
      </top>
      <bottom style="thin">
        <color auto="1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auto="1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 tint="-0.499984740745262"/>
      </right>
      <top/>
      <bottom/>
      <diagonal/>
    </border>
    <border>
      <left style="thick">
        <color theme="0" tint="-0.499984740745262"/>
      </left>
      <right style="thick">
        <color theme="0" tint="-0.499984740745262"/>
      </right>
      <top/>
      <bottom style="thick">
        <color theme="0" tint="-0.499984740745262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indexed="64"/>
      </right>
      <top style="thick">
        <color indexed="64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5" fillId="0" borderId="0"/>
  </cellStyleXfs>
  <cellXfs count="163">
    <xf numFmtId="0" fontId="0" fillId="0" borderId="0" xfId="0"/>
    <xf numFmtId="14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vertical="top"/>
    </xf>
    <xf numFmtId="0" fontId="2" fillId="0" borderId="0" xfId="1"/>
    <xf numFmtId="164" fontId="0" fillId="0" borderId="0" xfId="0" applyNumberFormat="1"/>
    <xf numFmtId="20" fontId="0" fillId="0" borderId="0" xfId="0" applyNumberFormat="1"/>
    <xf numFmtId="0" fontId="3" fillId="0" borderId="0" xfId="1" applyFont="1"/>
    <xf numFmtId="0" fontId="4" fillId="0" borderId="1" xfId="0" applyFont="1" applyBorder="1" applyAlignment="1">
      <alignment horizontal="center" vertical="center" wrapText="1"/>
    </xf>
    <xf numFmtId="0" fontId="4" fillId="2" borderId="1" xfId="2" applyFont="1" applyFill="1" applyBorder="1" applyAlignment="1">
      <alignment horizontal="center" vertical="center" wrapText="1"/>
    </xf>
    <xf numFmtId="0" fontId="4" fillId="0" borderId="1" xfId="2" applyFont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2" fontId="7" fillId="0" borderId="3" xfId="0" applyNumberFormat="1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1" fontId="7" fillId="2" borderId="3" xfId="2" applyNumberFormat="1" applyFont="1" applyFill="1" applyBorder="1" applyAlignment="1">
      <alignment horizontal="center" vertical="center" wrapText="1"/>
    </xf>
    <xf numFmtId="164" fontId="6" fillId="0" borderId="3" xfId="2" applyNumberFormat="1" applyFont="1" applyBorder="1" applyAlignment="1">
      <alignment horizontal="center" vertical="center" wrapText="1"/>
    </xf>
    <xf numFmtId="1" fontId="8" fillId="3" borderId="3" xfId="0" applyNumberFormat="1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 wrapText="1"/>
    </xf>
    <xf numFmtId="2" fontId="8" fillId="0" borderId="3" xfId="0" applyNumberFormat="1" applyFont="1" applyBorder="1" applyAlignment="1">
      <alignment horizontal="center" vertical="center" wrapText="1"/>
    </xf>
    <xf numFmtId="164" fontId="6" fillId="3" borderId="3" xfId="0" applyNumberFormat="1" applyFont="1" applyFill="1" applyBorder="1" applyAlignment="1">
      <alignment horizontal="center" vertical="center" wrapText="1"/>
    </xf>
    <xf numFmtId="165" fontId="6" fillId="0" borderId="3" xfId="0" applyNumberFormat="1" applyFont="1" applyBorder="1" applyAlignment="1">
      <alignment horizontal="center" vertical="center" wrapText="1"/>
    </xf>
    <xf numFmtId="164" fontId="6" fillId="0" borderId="3" xfId="0" applyNumberFormat="1" applyFont="1" applyBorder="1" applyAlignment="1">
      <alignment horizontal="center" vertical="center" wrapText="1"/>
    </xf>
    <xf numFmtId="2" fontId="7" fillId="5" borderId="3" xfId="0" applyNumberFormat="1" applyFont="1" applyFill="1" applyBorder="1" applyAlignment="1">
      <alignment horizontal="center" vertical="center" wrapText="1"/>
    </xf>
    <xf numFmtId="165" fontId="6" fillId="0" borderId="4" xfId="0" applyNumberFormat="1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49" fontId="9" fillId="0" borderId="4" xfId="0" applyNumberFormat="1" applyFont="1" applyBorder="1" applyAlignment="1">
      <alignment horizontal="center" vertical="center" wrapText="1"/>
    </xf>
    <xf numFmtId="0" fontId="10" fillId="0" borderId="3" xfId="0" applyFont="1" applyBorder="1"/>
    <xf numFmtId="2" fontId="0" fillId="0" borderId="1" xfId="0" applyNumberFormat="1" applyBorder="1"/>
    <xf numFmtId="0" fontId="0" fillId="0" borderId="1" xfId="0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2" fontId="5" fillId="0" borderId="1" xfId="0" applyNumberFormat="1" applyFont="1" applyBorder="1" applyAlignment="1">
      <alignment horizontal="center" vertical="center" wrapText="1"/>
    </xf>
    <xf numFmtId="2" fontId="5" fillId="4" borderId="1" xfId="0" applyNumberFormat="1" applyFont="1" applyFill="1" applyBorder="1" applyAlignment="1">
      <alignment horizontal="center" vertical="center" wrapText="1"/>
    </xf>
    <xf numFmtId="2" fontId="5" fillId="3" borderId="1" xfId="0" applyNumberFormat="1" applyFont="1" applyFill="1" applyBorder="1" applyAlignment="1">
      <alignment horizontal="center" vertical="center" wrapText="1"/>
    </xf>
    <xf numFmtId="2" fontId="0" fillId="4" borderId="1" xfId="0" applyNumberFormat="1" applyFill="1" applyBorder="1" applyAlignment="1">
      <alignment horizontal="center" vertical="center" wrapText="1"/>
    </xf>
    <xf numFmtId="164" fontId="5" fillId="3" borderId="1" xfId="0" applyNumberFormat="1" applyFont="1" applyFill="1" applyBorder="1" applyAlignment="1">
      <alignment horizontal="center" vertical="center" wrapText="1"/>
    </xf>
    <xf numFmtId="165" fontId="5" fillId="0" borderId="1" xfId="0" applyNumberFormat="1" applyFont="1" applyBorder="1" applyAlignment="1">
      <alignment horizontal="center" vertical="center" wrapText="1"/>
    </xf>
    <xf numFmtId="2" fontId="5" fillId="5" borderId="1" xfId="0" applyNumberFormat="1" applyFont="1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 wrapText="1"/>
    </xf>
    <xf numFmtId="1" fontId="10" fillId="0" borderId="1" xfId="0" applyNumberFormat="1" applyFont="1" applyBorder="1" applyAlignment="1">
      <alignment horizontal="center" vertical="center" wrapText="1"/>
    </xf>
    <xf numFmtId="0" fontId="10" fillId="0" borderId="1" xfId="0" applyFont="1" applyBorder="1"/>
    <xf numFmtId="2" fontId="10" fillId="0" borderId="1" xfId="0" applyNumberFormat="1" applyFont="1" applyBorder="1"/>
    <xf numFmtId="0" fontId="11" fillId="0" borderId="0" xfId="0" applyFont="1"/>
    <xf numFmtId="0" fontId="11" fillId="0" borderId="7" xfId="0" applyFont="1" applyBorder="1"/>
    <xf numFmtId="0" fontId="11" fillId="0" borderId="8" xfId="0" applyFont="1" applyBorder="1"/>
    <xf numFmtId="0" fontId="11" fillId="0" borderId="9" xfId="0" applyFont="1" applyBorder="1"/>
    <xf numFmtId="0" fontId="11" fillId="0" borderId="10" xfId="0" applyFont="1" applyBorder="1"/>
    <xf numFmtId="0" fontId="11" fillId="0" borderId="11" xfId="0" applyFont="1" applyBorder="1"/>
    <xf numFmtId="0" fontId="11" fillId="6" borderId="9" xfId="0" applyFont="1" applyFill="1" applyBorder="1"/>
    <xf numFmtId="0" fontId="11" fillId="6" borderId="11" xfId="0" applyFont="1" applyFill="1" applyBorder="1"/>
    <xf numFmtId="0" fontId="11" fillId="8" borderId="9" xfId="0" applyFont="1" applyFill="1" applyBorder="1"/>
    <xf numFmtId="0" fontId="11" fillId="8" borderId="11" xfId="0" applyFont="1" applyFill="1" applyBorder="1"/>
    <xf numFmtId="0" fontId="12" fillId="0" borderId="17" xfId="0" applyFont="1" applyBorder="1" applyAlignment="1">
      <alignment vertical="center"/>
    </xf>
    <xf numFmtId="0" fontId="12" fillId="0" borderId="18" xfId="0" applyFont="1" applyBorder="1" applyAlignment="1">
      <alignment vertical="center"/>
    </xf>
    <xf numFmtId="0" fontId="14" fillId="0" borderId="0" xfId="0" applyFont="1"/>
    <xf numFmtId="49" fontId="16" fillId="0" borderId="0" xfId="0" applyNumberFormat="1" applyFont="1"/>
    <xf numFmtId="49" fontId="12" fillId="0" borderId="26" xfId="0" applyNumberFormat="1" applyFont="1" applyBorder="1" applyAlignment="1">
      <alignment horizontal="center" vertical="center"/>
    </xf>
    <xf numFmtId="49" fontId="14" fillId="0" borderId="26" xfId="0" applyNumberFormat="1" applyFont="1" applyBorder="1"/>
    <xf numFmtId="49" fontId="16" fillId="0" borderId="26" xfId="0" applyNumberFormat="1" applyFont="1" applyBorder="1"/>
    <xf numFmtId="0" fontId="12" fillId="0" borderId="27" xfId="0" applyFont="1" applyBorder="1" applyAlignment="1">
      <alignment horizontal="justify" vertical="center"/>
    </xf>
    <xf numFmtId="0" fontId="12" fillId="0" borderId="29" xfId="0" applyFont="1" applyBorder="1"/>
    <xf numFmtId="0" fontId="12" fillId="0" borderId="32" xfId="0" applyFont="1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2" fontId="5" fillId="4" borderId="36" xfId="0" applyNumberFormat="1" applyFont="1" applyFill="1" applyBorder="1" applyAlignment="1">
      <alignment horizontal="center" vertical="center" wrapText="1"/>
    </xf>
    <xf numFmtId="164" fontId="5" fillId="3" borderId="36" xfId="0" applyNumberFormat="1" applyFont="1" applyFill="1" applyBorder="1" applyAlignment="1">
      <alignment horizontal="center" vertical="center" wrapText="1"/>
    </xf>
    <xf numFmtId="165" fontId="5" fillId="0" borderId="36" xfId="0" applyNumberFormat="1" applyFont="1" applyBorder="1" applyAlignment="1">
      <alignment horizontal="center" vertical="center" wrapText="1"/>
    </xf>
    <xf numFmtId="2" fontId="5" fillId="3" borderId="36" xfId="0" applyNumberFormat="1" applyFont="1" applyFill="1" applyBorder="1" applyAlignment="1">
      <alignment horizontal="center" vertical="center" wrapText="1"/>
    </xf>
    <xf numFmtId="2" fontId="5" fillId="0" borderId="36" xfId="0" applyNumberFormat="1" applyFont="1" applyBorder="1" applyAlignment="1">
      <alignment horizontal="center" vertical="center" wrapText="1"/>
    </xf>
    <xf numFmtId="165" fontId="5" fillId="0" borderId="20" xfId="0" applyNumberFormat="1" applyFont="1" applyBorder="1" applyAlignment="1">
      <alignment horizontal="center" vertical="center" wrapText="1"/>
    </xf>
    <xf numFmtId="1" fontId="10" fillId="0" borderId="15" xfId="0" applyNumberFormat="1" applyFont="1" applyBorder="1" applyAlignment="1">
      <alignment horizontal="center" vertical="center" wrapText="1"/>
    </xf>
    <xf numFmtId="2" fontId="0" fillId="0" borderId="0" xfId="0" applyNumberFormat="1"/>
    <xf numFmtId="165" fontId="11" fillId="0" borderId="9" xfId="0" applyNumberFormat="1" applyFont="1" applyBorder="1"/>
    <xf numFmtId="2" fontId="11" fillId="8" borderId="9" xfId="0" applyNumberFormat="1" applyFont="1" applyFill="1" applyBorder="1"/>
    <xf numFmtId="2" fontId="11" fillId="8" borderId="11" xfId="0" applyNumberFormat="1" applyFont="1" applyFill="1" applyBorder="1"/>
    <xf numFmtId="49" fontId="15" fillId="0" borderId="0" xfId="0" applyNumberFormat="1" applyFont="1"/>
    <xf numFmtId="164" fontId="11" fillId="0" borderId="8" xfId="0" applyNumberFormat="1" applyFont="1" applyBorder="1"/>
    <xf numFmtId="2" fontId="11" fillId="0" borderId="9" xfId="0" applyNumberFormat="1" applyFont="1" applyBorder="1"/>
    <xf numFmtId="2" fontId="11" fillId="6" borderId="9" xfId="0" applyNumberFormat="1" applyFont="1" applyFill="1" applyBorder="1"/>
    <xf numFmtId="2" fontId="11" fillId="6" borderId="11" xfId="0" applyNumberFormat="1" applyFont="1" applyFill="1" applyBorder="1"/>
    <xf numFmtId="0" fontId="17" fillId="0" borderId="6" xfId="0" applyFont="1" applyBorder="1" applyAlignment="1">
      <alignment horizontal="center" vertical="center" wrapText="1"/>
    </xf>
    <xf numFmtId="2" fontId="17" fillId="0" borderId="6" xfId="0" applyNumberFormat="1" applyFont="1" applyBorder="1"/>
    <xf numFmtId="49" fontId="14" fillId="0" borderId="0" xfId="0" applyNumberFormat="1" applyFont="1"/>
    <xf numFmtId="49" fontId="18" fillId="0" borderId="0" xfId="0" applyNumberFormat="1" applyFont="1"/>
    <xf numFmtId="0" fontId="1" fillId="0" borderId="0" xfId="0" applyFont="1"/>
    <xf numFmtId="0" fontId="12" fillId="0" borderId="12" xfId="0" applyFont="1" applyBorder="1" applyAlignment="1">
      <alignment horizontal="justify" vertical="center"/>
    </xf>
    <xf numFmtId="0" fontId="12" fillId="0" borderId="17" xfId="0" applyFont="1" applyBorder="1"/>
    <xf numFmtId="0" fontId="12" fillId="0" borderId="12" xfId="0" applyFont="1" applyBorder="1"/>
    <xf numFmtId="0" fontId="12" fillId="0" borderId="0" xfId="0" applyFont="1" applyAlignment="1">
      <alignment horizontal="center" vertical="center"/>
    </xf>
    <xf numFmtId="0" fontId="12" fillId="0" borderId="32" xfId="0" applyFont="1" applyBorder="1" applyAlignment="1">
      <alignment horizontal="center" vertical="center"/>
    </xf>
    <xf numFmtId="0" fontId="12" fillId="0" borderId="0" xfId="0" applyFont="1" applyAlignment="1">
      <alignment horizontal="justify" vertical="center"/>
    </xf>
    <xf numFmtId="0" fontId="12" fillId="0" borderId="0" xfId="0" applyFont="1"/>
    <xf numFmtId="2" fontId="14" fillId="0" borderId="0" xfId="0" applyNumberFormat="1" applyFont="1"/>
    <xf numFmtId="2" fontId="14" fillId="0" borderId="0" xfId="0" applyNumberFormat="1" applyFont="1" applyAlignment="1">
      <alignment horizontal="right"/>
    </xf>
    <xf numFmtId="0" fontId="0" fillId="0" borderId="26" xfId="0" applyBorder="1"/>
    <xf numFmtId="0" fontId="12" fillId="0" borderId="0" xfId="0" applyFont="1" applyAlignment="1">
      <alignment horizontal="left" vertical="center"/>
    </xf>
    <xf numFmtId="0" fontId="11" fillId="7" borderId="6" xfId="0" applyFont="1" applyFill="1" applyBorder="1" applyAlignment="1">
      <alignment horizontal="center" vertical="center" wrapText="1"/>
    </xf>
    <xf numFmtId="0" fontId="0" fillId="0" borderId="37" xfId="0" applyBorder="1"/>
    <xf numFmtId="0" fontId="0" fillId="0" borderId="38" xfId="0" applyBorder="1"/>
    <xf numFmtId="0" fontId="11" fillId="7" borderId="6" xfId="0" applyFont="1" applyFill="1" applyBorder="1" applyAlignment="1">
      <alignment horizontal="center" vertical="center"/>
    </xf>
    <xf numFmtId="0" fontId="12" fillId="0" borderId="0" xfId="0" applyFont="1" applyAlignment="1">
      <alignment horizontal="justify" vertical="center"/>
    </xf>
    <xf numFmtId="0" fontId="0" fillId="0" borderId="0" xfId="0"/>
    <xf numFmtId="0" fontId="12" fillId="0" borderId="0" xfId="0" applyFont="1"/>
    <xf numFmtId="0" fontId="12" fillId="0" borderId="46" xfId="0" applyFont="1" applyBorder="1" applyAlignment="1">
      <alignment horizontal="justify" vertical="center"/>
    </xf>
    <xf numFmtId="0" fontId="0" fillId="0" borderId="12" xfId="0" applyBorder="1"/>
    <xf numFmtId="0" fontId="0" fillId="0" borderId="28" xfId="0" applyBorder="1"/>
    <xf numFmtId="0" fontId="0" fillId="0" borderId="17" xfId="0" applyBorder="1"/>
    <xf numFmtId="0" fontId="12" fillId="0" borderId="47" xfId="0" applyFont="1" applyBorder="1" applyAlignment="1">
      <alignment horizontal="justify" vertical="center"/>
    </xf>
    <xf numFmtId="0" fontId="12" fillId="0" borderId="26" xfId="0" applyFont="1" applyBorder="1" applyAlignment="1">
      <alignment horizontal="justify" vertical="center"/>
    </xf>
    <xf numFmtId="2" fontId="14" fillId="0" borderId="0" xfId="0" applyNumberFormat="1" applyFont="1"/>
    <xf numFmtId="2" fontId="14" fillId="0" borderId="32" xfId="0" applyNumberFormat="1" applyFont="1" applyBorder="1"/>
    <xf numFmtId="0" fontId="0" fillId="0" borderId="32" xfId="0" applyBorder="1"/>
    <xf numFmtId="2" fontId="16" fillId="0" borderId="0" xfId="0" applyNumberFormat="1" applyFont="1"/>
    <xf numFmtId="2" fontId="16" fillId="0" borderId="32" xfId="0" applyNumberFormat="1" applyFont="1" applyBorder="1"/>
    <xf numFmtId="2" fontId="14" fillId="0" borderId="0" xfId="0" applyNumberFormat="1" applyFont="1" applyAlignment="1">
      <alignment horizontal="right"/>
    </xf>
    <xf numFmtId="2" fontId="14" fillId="0" borderId="32" xfId="0" applyNumberFormat="1" applyFont="1" applyBorder="1" applyAlignment="1">
      <alignment horizontal="center"/>
    </xf>
    <xf numFmtId="2" fontId="14" fillId="0" borderId="0" xfId="0" applyNumberFormat="1" applyFont="1" applyAlignment="1">
      <alignment horizontal="center"/>
    </xf>
    <xf numFmtId="2" fontId="14" fillId="0" borderId="0" xfId="0" applyNumberFormat="1" applyFont="1" applyAlignment="1">
      <alignment horizontal="center" vertical="center"/>
    </xf>
    <xf numFmtId="2" fontId="14" fillId="0" borderId="32" xfId="0" applyNumberFormat="1" applyFont="1" applyBorder="1" applyAlignment="1">
      <alignment horizontal="center" vertical="center"/>
    </xf>
    <xf numFmtId="2" fontId="15" fillId="0" borderId="0" xfId="0" applyNumberFormat="1" applyFont="1" applyAlignment="1">
      <alignment horizontal="center"/>
    </xf>
    <xf numFmtId="2" fontId="15" fillId="0" borderId="32" xfId="0" applyNumberFormat="1" applyFont="1" applyBorder="1" applyAlignment="1">
      <alignment horizontal="center" vertical="center"/>
    </xf>
    <xf numFmtId="0" fontId="12" fillId="0" borderId="42" xfId="0" applyFont="1" applyBorder="1" applyAlignment="1">
      <alignment horizontal="center" vertical="center"/>
    </xf>
    <xf numFmtId="0" fontId="0" fillId="0" borderId="29" xfId="0" applyBorder="1"/>
    <xf numFmtId="0" fontId="12" fillId="0" borderId="43" xfId="0" applyFont="1" applyBorder="1" applyAlignment="1">
      <alignment horizontal="center" vertical="center"/>
    </xf>
    <xf numFmtId="0" fontId="0" fillId="0" borderId="14" xfId="0" applyBorder="1"/>
    <xf numFmtId="0" fontId="0" fillId="0" borderId="30" xfId="0" applyBorder="1"/>
    <xf numFmtId="0" fontId="13" fillId="0" borderId="31" xfId="0" applyFont="1" applyBorder="1" applyAlignment="1">
      <alignment horizontal="center" vertical="center"/>
    </xf>
    <xf numFmtId="0" fontId="0" fillId="0" borderId="13" xfId="0" applyBorder="1"/>
    <xf numFmtId="0" fontId="0" fillId="0" borderId="26" xfId="0" applyBorder="1"/>
    <xf numFmtId="0" fontId="0" fillId="0" borderId="16" xfId="0" applyBorder="1"/>
    <xf numFmtId="0" fontId="0" fillId="0" borderId="18" xfId="0" applyBorder="1"/>
    <xf numFmtId="0" fontId="12" fillId="0" borderId="13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2" fillId="0" borderId="44" xfId="0" applyFont="1" applyBorder="1" applyAlignment="1">
      <alignment horizontal="center" vertical="center"/>
    </xf>
    <xf numFmtId="0" fontId="0" fillId="0" borderId="27" xfId="0" applyBorder="1"/>
    <xf numFmtId="0" fontId="12" fillId="0" borderId="16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45" xfId="0" applyFont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 wrapText="1"/>
    </xf>
    <xf numFmtId="0" fontId="12" fillId="0" borderId="0" xfId="0" quotePrefix="1" applyFont="1" applyAlignment="1">
      <alignment horizontal="left" vertical="center"/>
    </xf>
    <xf numFmtId="0" fontId="12" fillId="0" borderId="39" xfId="0" applyFont="1" applyBorder="1" applyAlignment="1">
      <alignment horizontal="center" vertical="center" wrapText="1"/>
    </xf>
    <xf numFmtId="0" fontId="0" fillId="0" borderId="21" xfId="0" applyBorder="1"/>
    <xf numFmtId="0" fontId="0" fillId="0" borderId="22" xfId="0" applyBorder="1"/>
    <xf numFmtId="0" fontId="12" fillId="0" borderId="24" xfId="0" applyFont="1" applyBorder="1" applyAlignment="1">
      <alignment horizontal="center" vertical="center"/>
    </xf>
    <xf numFmtId="0" fontId="0" fillId="0" borderId="23" xfId="0" applyBorder="1"/>
    <xf numFmtId="0" fontId="0" fillId="0" borderId="24" xfId="0" applyBorder="1"/>
    <xf numFmtId="0" fontId="12" fillId="0" borderId="40" xfId="0" applyFont="1" applyBorder="1" applyAlignment="1">
      <alignment horizontal="center" vertical="center"/>
    </xf>
    <xf numFmtId="0" fontId="0" fillId="0" borderId="25" xfId="0" applyBorder="1"/>
    <xf numFmtId="0" fontId="12" fillId="0" borderId="1" xfId="0" applyFont="1" applyBorder="1" applyAlignment="1">
      <alignment horizontal="center" vertical="center" wrapText="1"/>
    </xf>
    <xf numFmtId="0" fontId="0" fillId="0" borderId="19" xfId="0" applyBorder="1"/>
    <xf numFmtId="49" fontId="12" fillId="0" borderId="41" xfId="0" applyNumberFormat="1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9" xfId="0" applyFont="1" applyBorder="1"/>
    <xf numFmtId="0" fontId="5" fillId="0" borderId="1" xfId="0" applyFont="1" applyBorder="1" applyAlignment="1">
      <alignment horizontal="center" vertical="center" wrapText="1"/>
    </xf>
    <xf numFmtId="0" fontId="0" fillId="0" borderId="5" xfId="0" applyBorder="1"/>
  </cellXfs>
  <cellStyles count="3">
    <cellStyle name="Гиперссылка" xfId="1" builtinId="8"/>
    <cellStyle name="Обычный" xfId="0" builtinId="0"/>
    <cellStyle name="Обычный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752475</xdr:colOff>
          <xdr:row>0</xdr:row>
          <xdr:rowOff>228600</xdr:rowOff>
        </xdr:from>
        <xdr:to>
          <xdr:col>1</xdr:col>
          <xdr:colOff>1924050</xdr:colOff>
          <xdr:row>2</xdr:row>
          <xdr:rowOff>219075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146D0806-59F5-8085-1CE0-A6B2A20FC4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кабель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1981200</xdr:colOff>
          <xdr:row>0</xdr:row>
          <xdr:rowOff>228600</xdr:rowOff>
        </xdr:from>
        <xdr:to>
          <xdr:col>2</xdr:col>
          <xdr:colOff>1276350</xdr:colOff>
          <xdr:row>2</xdr:row>
          <xdr:rowOff>219075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C83539BD-D725-E239-8D24-803A17DBBC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Расчёт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hyperlink" Target="https://en.wikipedia.org/wiki/Circle_packing_in_a_circl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2:H5"/>
  <sheetViews>
    <sheetView tabSelected="1" workbookViewId="0">
      <selection activeCell="B6" sqref="B6:C12"/>
    </sheetView>
  </sheetViews>
  <sheetFormatPr defaultRowHeight="15"/>
  <cols>
    <col min="2" max="2" width="30.7109375" customWidth="1"/>
    <col min="3" max="3" width="20.7109375" customWidth="1"/>
    <col min="7" max="7" width="22.28515625" customWidth="1"/>
    <col min="8" max="8" width="13.28515625" bestFit="1" customWidth="1"/>
    <col min="9" max="9" width="21.85546875" bestFit="1" customWidth="1"/>
    <col min="10" max="10" width="15.5703125" customWidth="1"/>
    <col min="11" max="11" width="18.28515625" bestFit="1" customWidth="1"/>
    <col min="12" max="12" width="6.28515625" bestFit="1" customWidth="1"/>
    <col min="13" max="13" width="8.28515625" bestFit="1" customWidth="1"/>
    <col min="14" max="15" width="11" bestFit="1" customWidth="1"/>
  </cols>
  <sheetData>
    <row r="2" spans="2:8">
      <c r="G2" t="s">
        <v>0</v>
      </c>
      <c r="H2" t="s">
        <v>1</v>
      </c>
    </row>
    <row r="3" spans="2:8">
      <c r="G3" t="s">
        <v>2</v>
      </c>
      <c r="H3" t="s">
        <v>3</v>
      </c>
    </row>
    <row r="5" spans="2:8">
      <c r="B5" t="s">
        <v>0</v>
      </c>
      <c r="C5" t="s">
        <v>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ddCable">
                <anchor moveWithCells="1" sizeWithCells="1">
                  <from>
                    <xdr:col>0</xdr:col>
                    <xdr:colOff>752475</xdr:colOff>
                    <xdr:row>0</xdr:row>
                    <xdr:rowOff>228600</xdr:rowOff>
                  </from>
                  <to>
                    <xdr:col>1</xdr:col>
                    <xdr:colOff>1924050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blCalc">
                <anchor moveWithCells="1" sizeWithCells="1">
                  <from>
                    <xdr:col>1</xdr:col>
                    <xdr:colOff>1981200</xdr:colOff>
                    <xdr:row>0</xdr:row>
                    <xdr:rowOff>228600</xdr:rowOff>
                  </from>
                  <to>
                    <xdr:col>2</xdr:col>
                    <xdr:colOff>1276350</xdr:colOff>
                    <xdr:row>2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1"/>
  <dimension ref="B2:N9"/>
  <sheetViews>
    <sheetView workbookViewId="0">
      <selection activeCell="M2" sqref="M2:N3"/>
    </sheetView>
  </sheetViews>
  <sheetFormatPr defaultRowHeight="15"/>
  <cols>
    <col min="2" max="2" width="18.28515625" customWidth="1"/>
    <col min="3" max="3" width="32.42578125" customWidth="1"/>
    <col min="13" max="13" width="28.28515625" bestFit="1" customWidth="1"/>
    <col min="14" max="14" width="11.140625" customWidth="1"/>
  </cols>
  <sheetData>
    <row r="2" spans="2:14">
      <c r="M2" t="s">
        <v>5</v>
      </c>
      <c r="N2">
        <v>2</v>
      </c>
    </row>
    <row r="3" spans="2:14">
      <c r="M3" t="s">
        <v>6</v>
      </c>
      <c r="N3">
        <v>0.3</v>
      </c>
    </row>
    <row r="4" spans="2:14">
      <c r="B4" t="s">
        <v>7</v>
      </c>
      <c r="C4" t="s">
        <v>6</v>
      </c>
    </row>
    <row r="5" spans="2:14">
      <c r="B5" t="s">
        <v>8</v>
      </c>
      <c r="C5">
        <v>0.5</v>
      </c>
    </row>
    <row r="6" spans="2:14">
      <c r="B6" t="s">
        <v>9</v>
      </c>
      <c r="C6">
        <v>0</v>
      </c>
    </row>
    <row r="7" spans="2:14">
      <c r="B7" t="s">
        <v>10</v>
      </c>
      <c r="C7">
        <v>37</v>
      </c>
    </row>
    <row r="8" spans="2:14">
      <c r="B8" t="s">
        <v>11</v>
      </c>
      <c r="C8">
        <v>0.3</v>
      </c>
    </row>
    <row r="9" spans="2:14">
      <c r="B9" t="s">
        <v>1</v>
      </c>
      <c r="C9" t="s">
        <v>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17"/>
  <dimension ref="B2:T94"/>
  <sheetViews>
    <sheetView topLeftCell="A55" workbookViewId="0">
      <selection activeCell="E6" sqref="E6"/>
    </sheetView>
  </sheetViews>
  <sheetFormatPr defaultRowHeight="15"/>
  <cols>
    <col min="2" max="2" width="22" customWidth="1"/>
    <col min="3" max="3" width="40.140625" bestFit="1" customWidth="1"/>
    <col min="4" max="4" width="7.140625" customWidth="1"/>
    <col min="5" max="5" width="28.7109375" bestFit="1" customWidth="1"/>
    <col min="8" max="20" width="18.85546875" customWidth="1"/>
  </cols>
  <sheetData>
    <row r="2" spans="2:5" ht="15" customHeight="1" thickBot="1"/>
    <row r="3" spans="2:5" ht="15.6" customHeight="1" thickTop="1" thickBot="1">
      <c r="B3" s="106" t="s">
        <v>12</v>
      </c>
      <c r="C3" s="49" t="s">
        <v>7</v>
      </c>
      <c r="D3" s="49"/>
      <c r="E3" s="50" t="s">
        <v>6</v>
      </c>
    </row>
    <row r="4" spans="2:5" ht="15.6" customHeight="1" thickTop="1" thickBot="1">
      <c r="B4" s="104"/>
      <c r="C4" s="48" t="s">
        <v>11</v>
      </c>
      <c r="D4" s="48" t="s">
        <v>13</v>
      </c>
      <c r="E4" s="51">
        <v>0.3</v>
      </c>
    </row>
    <row r="5" spans="2:5" ht="15.6" customHeight="1" thickTop="1" thickBot="1">
      <c r="B5" s="105"/>
      <c r="C5" s="52" t="s">
        <v>1</v>
      </c>
      <c r="D5" s="52"/>
      <c r="E5" s="53" t="s">
        <v>3</v>
      </c>
    </row>
    <row r="6" spans="2:5" ht="15.6" customHeight="1" thickTop="1" thickBot="1">
      <c r="B6" s="103" t="s">
        <v>14</v>
      </c>
      <c r="C6" s="49" t="s">
        <v>8</v>
      </c>
      <c r="D6" s="49" t="s">
        <v>15</v>
      </c>
      <c r="E6" s="83">
        <v>0.5</v>
      </c>
    </row>
    <row r="7" spans="2:5" ht="15.6" customHeight="1" thickTop="1" thickBot="1">
      <c r="B7" s="104"/>
      <c r="C7" s="48" t="s">
        <v>16</v>
      </c>
      <c r="D7" s="48"/>
      <c r="E7" s="51">
        <v>7</v>
      </c>
    </row>
    <row r="8" spans="2:5" ht="15.6" customHeight="1" thickTop="1" thickBot="1">
      <c r="B8" s="104"/>
      <c r="C8" s="48" t="s">
        <v>17</v>
      </c>
      <c r="D8" s="48"/>
      <c r="E8" s="79">
        <v>1.03</v>
      </c>
    </row>
    <row r="9" spans="2:5" ht="15.6" customHeight="1" thickTop="1" thickBot="1">
      <c r="B9" s="104"/>
      <c r="C9" s="48" t="s">
        <v>18</v>
      </c>
      <c r="D9" s="48"/>
      <c r="E9" s="51">
        <v>1.034</v>
      </c>
    </row>
    <row r="10" spans="2:5" ht="15.6" customHeight="1" thickTop="1" thickBot="1">
      <c r="B10" s="104"/>
      <c r="C10" s="48" t="s">
        <v>19</v>
      </c>
      <c r="D10" s="48" t="s">
        <v>20</v>
      </c>
      <c r="E10" s="51">
        <v>0.3</v>
      </c>
    </row>
    <row r="11" spans="2:5" ht="15.6" customHeight="1" thickTop="1" thickBot="1">
      <c r="B11" s="104"/>
      <c r="C11" s="48" t="s">
        <v>21</v>
      </c>
      <c r="D11" s="48" t="s">
        <v>20</v>
      </c>
      <c r="E11" s="54">
        <v>0.9</v>
      </c>
    </row>
    <row r="12" spans="2:5" ht="15.6" customHeight="1" thickTop="1" thickBot="1">
      <c r="B12" s="104"/>
      <c r="C12" s="48" t="s">
        <v>22</v>
      </c>
      <c r="D12" s="48"/>
      <c r="E12" s="51">
        <v>37</v>
      </c>
    </row>
    <row r="13" spans="2:5" ht="15.6" customHeight="1" thickTop="1" thickBot="1">
      <c r="B13" s="104"/>
      <c r="C13" s="48" t="s">
        <v>23</v>
      </c>
      <c r="D13" s="48" t="s">
        <v>24</v>
      </c>
      <c r="E13" s="80">
        <f>PI()*E10^2/4*E7*E8*8.89*E9</f>
        <v>4.6847881364230695</v>
      </c>
    </row>
    <row r="14" spans="2:5" ht="15.6" customHeight="1" thickTop="1" thickBot="1">
      <c r="B14" s="104"/>
      <c r="C14" s="48" t="s">
        <v>25</v>
      </c>
      <c r="D14" s="48" t="s">
        <v>24</v>
      </c>
      <c r="E14" s="80">
        <f>PI()*E10^2/4*E7*E8*8.89*E12*E9</f>
        <v>173.33716104765358</v>
      </c>
    </row>
    <row r="15" spans="2:5" ht="15.6" customHeight="1" thickTop="1" thickBot="1">
      <c r="B15" s="105"/>
      <c r="C15" s="52" t="s">
        <v>26</v>
      </c>
      <c r="D15" s="52" t="s">
        <v>24</v>
      </c>
      <c r="E15" s="81">
        <f>E14*0.024</f>
        <v>4.160091865143686</v>
      </c>
    </row>
    <row r="16" spans="2:5" ht="15.6" customHeight="1" thickTop="1" thickBot="1">
      <c r="B16" s="103" t="s">
        <v>27</v>
      </c>
      <c r="C16" s="49" t="s">
        <v>28</v>
      </c>
      <c r="D16" s="49" t="s">
        <v>20</v>
      </c>
      <c r="E16" s="50">
        <v>0</v>
      </c>
    </row>
    <row r="17" spans="2:5" ht="15.6" customHeight="1" thickTop="1" thickBot="1">
      <c r="B17" s="104"/>
      <c r="C17" s="48" t="s">
        <v>29</v>
      </c>
      <c r="D17" s="48" t="s">
        <v>20</v>
      </c>
      <c r="E17" s="51">
        <v>0</v>
      </c>
    </row>
    <row r="18" spans="2:5" ht="15.6" customHeight="1" thickTop="1" thickBot="1">
      <c r="B18" s="104"/>
      <c r="C18" s="48" t="s">
        <v>30</v>
      </c>
      <c r="D18" s="48" t="s">
        <v>24</v>
      </c>
      <c r="E18" s="80">
        <v>0</v>
      </c>
    </row>
    <row r="19" spans="2:5" ht="15.6" customHeight="1" thickTop="1" thickBot="1">
      <c r="B19" s="104"/>
      <c r="C19" s="48" t="s">
        <v>31</v>
      </c>
      <c r="D19" s="48" t="s">
        <v>20</v>
      </c>
      <c r="E19" s="51">
        <v>0</v>
      </c>
    </row>
    <row r="20" spans="2:5" ht="15.6" customHeight="1" thickTop="1" thickBot="1">
      <c r="B20" s="104"/>
      <c r="C20" s="48" t="s">
        <v>32</v>
      </c>
      <c r="D20" s="48" t="s">
        <v>20</v>
      </c>
      <c r="E20" s="51">
        <v>0</v>
      </c>
    </row>
    <row r="21" spans="2:5" ht="15.6" customHeight="1" thickTop="1" thickBot="1">
      <c r="B21" s="104"/>
      <c r="C21" s="48" t="s">
        <v>33</v>
      </c>
      <c r="D21" s="48" t="s">
        <v>24</v>
      </c>
      <c r="E21" s="80">
        <v>0</v>
      </c>
    </row>
    <row r="22" spans="2:5" ht="15.6" customHeight="1" thickTop="1" thickBot="1">
      <c r="B22" s="105"/>
      <c r="C22" s="52" t="s">
        <v>34</v>
      </c>
      <c r="D22" s="52" t="s">
        <v>20</v>
      </c>
      <c r="E22" s="55">
        <f>E11+(2*E16+2*E19)*2</f>
        <v>0.9</v>
      </c>
    </row>
    <row r="23" spans="2:5" ht="15.6" customHeight="1" thickTop="1" thickBot="1">
      <c r="B23" s="103" t="s">
        <v>35</v>
      </c>
      <c r="C23" s="49" t="s">
        <v>36</v>
      </c>
      <c r="D23" s="49" t="s">
        <v>20</v>
      </c>
      <c r="E23" s="50">
        <v>0.6</v>
      </c>
    </row>
    <row r="24" spans="2:5" ht="15.6" customHeight="1" thickTop="1" thickBot="1">
      <c r="B24" s="104"/>
      <c r="C24" s="48" t="s">
        <v>37</v>
      </c>
      <c r="D24" s="48" t="s">
        <v>38</v>
      </c>
      <c r="E24" s="51">
        <v>1.43</v>
      </c>
    </row>
    <row r="25" spans="2:5" ht="15.6" customHeight="1" thickTop="1" thickBot="1">
      <c r="B25" s="104"/>
      <c r="C25" s="48" t="s">
        <v>39</v>
      </c>
      <c r="D25" s="48"/>
      <c r="E25" s="51">
        <v>1.17</v>
      </c>
    </row>
    <row r="26" spans="2:5" ht="15.6" customHeight="1" thickTop="1" thickBot="1">
      <c r="B26" s="104"/>
      <c r="C26" s="48" t="s">
        <v>40</v>
      </c>
      <c r="D26" s="48" t="s">
        <v>24</v>
      </c>
      <c r="E26" s="80">
        <f>PI()*(E22+E23)*E23*E24*E25*E9</f>
        <v>4.89141848111184</v>
      </c>
    </row>
    <row r="27" spans="2:5" ht="15.6" customHeight="1" thickTop="1" thickBot="1">
      <c r="B27" s="104"/>
      <c r="C27" s="48" t="s">
        <v>41</v>
      </c>
      <c r="D27" s="48" t="s">
        <v>24</v>
      </c>
      <c r="E27" s="80">
        <f>E26*E9*E12</f>
        <v>187.13588825037678</v>
      </c>
    </row>
    <row r="28" spans="2:5" ht="15.6" customHeight="1" thickTop="1" thickBot="1">
      <c r="B28" s="104"/>
      <c r="C28" s="48" t="s">
        <v>42</v>
      </c>
      <c r="D28" s="48" t="s">
        <v>24</v>
      </c>
      <c r="E28" s="80">
        <f>E27*2.04/100</f>
        <v>3.8175721203076862</v>
      </c>
    </row>
    <row r="29" spans="2:5" ht="15.6" customHeight="1" thickTop="1" thickBot="1">
      <c r="B29" s="105"/>
      <c r="C29" s="52" t="s">
        <v>43</v>
      </c>
      <c r="D29" s="52" t="s">
        <v>20</v>
      </c>
      <c r="E29" s="55">
        <f>E22+2*E23</f>
        <v>2.1</v>
      </c>
    </row>
    <row r="30" spans="2:5" ht="15.6" customHeight="1" thickTop="1" thickBot="1">
      <c r="B30" s="103" t="s">
        <v>44</v>
      </c>
      <c r="C30" s="49" t="s">
        <v>1</v>
      </c>
      <c r="D30" s="49"/>
      <c r="E30" s="50" t="s">
        <v>45</v>
      </c>
    </row>
    <row r="31" spans="2:5" ht="15.6" customHeight="1" thickTop="1" thickBot="1">
      <c r="B31" s="105"/>
      <c r="C31" s="52" t="s">
        <v>46</v>
      </c>
      <c r="D31" s="52" t="s">
        <v>20</v>
      </c>
      <c r="E31" s="55">
        <f>E29</f>
        <v>2.1</v>
      </c>
    </row>
    <row r="32" spans="2:5" ht="14.45" customHeight="1" thickTop="1" thickBot="1">
      <c r="B32" s="103" t="s">
        <v>47</v>
      </c>
      <c r="C32" s="49" t="s">
        <v>48</v>
      </c>
      <c r="D32" s="49" t="s">
        <v>20</v>
      </c>
      <c r="E32" s="50">
        <v>0</v>
      </c>
    </row>
    <row r="33" spans="2:5" ht="15.6" customHeight="1" thickTop="1" thickBot="1">
      <c r="B33" s="104"/>
      <c r="C33" s="48" t="s">
        <v>49</v>
      </c>
      <c r="D33" s="48" t="s">
        <v>20</v>
      </c>
      <c r="E33" s="51">
        <v>0</v>
      </c>
    </row>
    <row r="34" spans="2:5" ht="15.6" customHeight="1" thickTop="1" thickBot="1">
      <c r="B34" s="104"/>
      <c r="C34" s="48" t="s">
        <v>50</v>
      </c>
      <c r="D34" s="48" t="s">
        <v>20</v>
      </c>
      <c r="E34" s="51">
        <v>0</v>
      </c>
    </row>
    <row r="35" spans="2:5" ht="15.6" customHeight="1" thickTop="1" thickBot="1">
      <c r="B35" s="104"/>
      <c r="C35" s="48" t="s">
        <v>51</v>
      </c>
      <c r="D35" s="48" t="s">
        <v>20</v>
      </c>
      <c r="E35" s="84">
        <v>0</v>
      </c>
    </row>
    <row r="36" spans="2:5" ht="15.6" customHeight="1" thickTop="1" thickBot="1">
      <c r="B36" s="104"/>
      <c r="C36" s="48" t="s">
        <v>52</v>
      </c>
      <c r="D36" s="48" t="s">
        <v>53</v>
      </c>
      <c r="E36" s="51">
        <v>0</v>
      </c>
    </row>
    <row r="37" spans="2:5" ht="15.6" customHeight="1" thickTop="1" thickBot="1">
      <c r="B37" s="104"/>
      <c r="C37" s="48" t="s">
        <v>54</v>
      </c>
      <c r="D37" s="48" t="s">
        <v>55</v>
      </c>
      <c r="E37" s="51">
        <v>2.15</v>
      </c>
    </row>
    <row r="38" spans="2:5" ht="15.6" customHeight="1" thickTop="1" thickBot="1">
      <c r="B38" s="104"/>
      <c r="C38" s="48" t="s">
        <v>56</v>
      </c>
      <c r="D38" s="48" t="s">
        <v>20</v>
      </c>
      <c r="E38" s="54">
        <f>E31+2*E32</f>
        <v>2.1</v>
      </c>
    </row>
    <row r="39" spans="2:5" ht="15.6" customHeight="1" thickTop="1" thickBot="1">
      <c r="B39" s="104"/>
      <c r="C39" s="48" t="s">
        <v>57</v>
      </c>
      <c r="D39" s="48" t="s">
        <v>24</v>
      </c>
      <c r="E39" s="84">
        <v>0</v>
      </c>
    </row>
    <row r="40" spans="2:5" ht="15.6" customHeight="1" thickTop="1" thickBot="1">
      <c r="B40" s="104"/>
      <c r="C40" s="48" t="s">
        <v>58</v>
      </c>
      <c r="D40" s="48" t="s">
        <v>24</v>
      </c>
      <c r="E40" s="80">
        <v>0</v>
      </c>
    </row>
    <row r="41" spans="2:5" ht="15.6" customHeight="1" thickTop="1" thickBot="1">
      <c r="B41" s="104"/>
      <c r="C41" s="48" t="s">
        <v>59</v>
      </c>
      <c r="D41" s="48" t="s">
        <v>24</v>
      </c>
      <c r="E41" s="80">
        <v>0</v>
      </c>
    </row>
    <row r="42" spans="2:5" ht="15.6" customHeight="1" thickTop="1" thickBot="1">
      <c r="B42" s="105"/>
      <c r="C42" s="52" t="s">
        <v>60</v>
      </c>
      <c r="D42" s="52" t="s">
        <v>24</v>
      </c>
      <c r="E42" s="81">
        <v>0</v>
      </c>
    </row>
    <row r="43" spans="2:5" ht="15.6" customHeight="1" thickTop="1" thickBot="1">
      <c r="B43" s="106" t="s">
        <v>61</v>
      </c>
      <c r="C43" s="49" t="s">
        <v>62</v>
      </c>
      <c r="D43" s="49" t="s">
        <v>20</v>
      </c>
      <c r="E43" s="50">
        <v>0</v>
      </c>
    </row>
    <row r="44" spans="2:5" ht="15.6" customHeight="1" thickTop="1" thickBot="1">
      <c r="B44" s="104"/>
      <c r="C44" s="48" t="s">
        <v>63</v>
      </c>
      <c r="D44" s="48" t="s">
        <v>20</v>
      </c>
      <c r="E44" s="51">
        <v>0</v>
      </c>
    </row>
    <row r="45" spans="2:5" ht="15.6" customHeight="1" thickTop="1" thickBot="1">
      <c r="B45" s="104"/>
      <c r="C45" s="48" t="s">
        <v>64</v>
      </c>
      <c r="D45" s="48" t="s">
        <v>20</v>
      </c>
      <c r="E45" s="51">
        <v>0</v>
      </c>
    </row>
    <row r="46" spans="2:5" ht="15.6" customHeight="1" thickTop="1" thickBot="1">
      <c r="B46" s="104"/>
      <c r="C46" s="48" t="s">
        <v>65</v>
      </c>
      <c r="D46" s="48" t="s">
        <v>20</v>
      </c>
      <c r="E46" s="84">
        <v>0</v>
      </c>
    </row>
    <row r="47" spans="2:5" ht="15.6" customHeight="1" thickTop="1" thickBot="1">
      <c r="B47" s="104"/>
      <c r="C47" s="48" t="s">
        <v>52</v>
      </c>
      <c r="D47" s="48" t="s">
        <v>53</v>
      </c>
      <c r="E47" s="51">
        <v>0</v>
      </c>
    </row>
    <row r="48" spans="2:5" ht="15.6" customHeight="1" thickTop="1" thickBot="1">
      <c r="B48" s="104"/>
      <c r="C48" s="48" t="s">
        <v>66</v>
      </c>
      <c r="D48" s="48" t="s">
        <v>55</v>
      </c>
      <c r="E48" s="51">
        <v>1.44</v>
      </c>
    </row>
    <row r="49" spans="2:5" ht="15.6" customHeight="1" thickTop="1" thickBot="1">
      <c r="B49" s="104"/>
      <c r="C49" s="48" t="s">
        <v>67</v>
      </c>
      <c r="D49" s="48" t="s">
        <v>20</v>
      </c>
      <c r="E49" s="54">
        <f>E38+2*E43</f>
        <v>2.1</v>
      </c>
    </row>
    <row r="50" spans="2:5" ht="15.6" customHeight="1" thickTop="1" thickBot="1">
      <c r="B50" s="105"/>
      <c r="C50" s="52" t="s">
        <v>68</v>
      </c>
      <c r="D50" s="52" t="s">
        <v>24</v>
      </c>
      <c r="E50" s="81">
        <v>0</v>
      </c>
    </row>
    <row r="51" spans="2:5" ht="15.6" customHeight="1" thickTop="1" thickBot="1">
      <c r="B51" s="103" t="s">
        <v>69</v>
      </c>
      <c r="C51" s="49" t="s">
        <v>1</v>
      </c>
      <c r="D51" s="49"/>
      <c r="E51" s="50" t="s">
        <v>3</v>
      </c>
    </row>
    <row r="52" spans="2:5" ht="15.6" customHeight="1" thickTop="1" thickBot="1">
      <c r="B52" s="105"/>
      <c r="C52" s="52" t="s">
        <v>46</v>
      </c>
      <c r="D52" s="52" t="s">
        <v>20</v>
      </c>
      <c r="E52" s="86">
        <f>7*E49</f>
        <v>14.700000000000001</v>
      </c>
    </row>
    <row r="53" spans="2:5" ht="15.6" customHeight="1" thickTop="1" thickBot="1">
      <c r="B53" s="106" t="s">
        <v>61</v>
      </c>
      <c r="C53" s="49" t="s">
        <v>62</v>
      </c>
      <c r="D53" s="49" t="s">
        <v>20</v>
      </c>
      <c r="E53" s="50">
        <v>0.02</v>
      </c>
    </row>
    <row r="54" spans="2:5" ht="15.6" customHeight="1" thickTop="1" thickBot="1">
      <c r="B54" s="104"/>
      <c r="C54" s="48" t="s">
        <v>63</v>
      </c>
      <c r="D54" s="48" t="s">
        <v>20</v>
      </c>
      <c r="E54" s="51">
        <v>50</v>
      </c>
    </row>
    <row r="55" spans="2:5" ht="15.6" customHeight="1" thickTop="1" thickBot="1">
      <c r="B55" s="104"/>
      <c r="C55" s="48" t="s">
        <v>64</v>
      </c>
      <c r="D55" s="48" t="s">
        <v>20</v>
      </c>
      <c r="E55" s="51">
        <v>50</v>
      </c>
    </row>
    <row r="56" spans="2:5" ht="15.6" customHeight="1" thickTop="1" thickBot="1">
      <c r="B56" s="104"/>
      <c r="C56" s="48" t="s">
        <v>65</v>
      </c>
      <c r="D56" s="48" t="s">
        <v>20</v>
      </c>
      <c r="E56" s="84">
        <v>2.8571428571428571E-2</v>
      </c>
    </row>
    <row r="57" spans="2:5" ht="15.6" customHeight="1" thickTop="1" thickBot="1">
      <c r="B57" s="104"/>
      <c r="C57" s="48" t="s">
        <v>52</v>
      </c>
      <c r="D57" s="48" t="s">
        <v>53</v>
      </c>
      <c r="E57" s="51">
        <v>30</v>
      </c>
    </row>
    <row r="58" spans="2:5" ht="15.6" customHeight="1" thickTop="1" thickBot="1">
      <c r="B58" s="104"/>
      <c r="C58" s="48" t="s">
        <v>66</v>
      </c>
      <c r="D58" s="48" t="s">
        <v>55</v>
      </c>
      <c r="E58" s="51">
        <v>1.44</v>
      </c>
    </row>
    <row r="59" spans="2:5" ht="15.6" customHeight="1" thickTop="1" thickBot="1">
      <c r="B59" s="104"/>
      <c r="C59" s="48" t="s">
        <v>67</v>
      </c>
      <c r="D59" s="48" t="s">
        <v>20</v>
      </c>
      <c r="E59" s="85">
        <f>E52+2*E53</f>
        <v>14.74</v>
      </c>
    </row>
    <row r="60" spans="2:5" ht="15.6" customHeight="1" thickTop="1" thickBot="1">
      <c r="B60" s="105"/>
      <c r="C60" s="52" t="s">
        <v>68</v>
      </c>
      <c r="D60" s="52" t="s">
        <v>24</v>
      </c>
      <c r="E60" s="81">
        <v>2.8833807713294952</v>
      </c>
    </row>
    <row r="61" spans="2:5" ht="15.6" customHeight="1" thickTop="1" thickBot="1">
      <c r="B61" s="103" t="s">
        <v>70</v>
      </c>
      <c r="C61" s="49" t="s">
        <v>48</v>
      </c>
      <c r="D61" s="49" t="s">
        <v>20</v>
      </c>
      <c r="E61" s="50">
        <v>0</v>
      </c>
    </row>
    <row r="62" spans="2:5" ht="15.6" customHeight="1" thickTop="1" thickBot="1">
      <c r="B62" s="104"/>
      <c r="C62" s="48" t="s">
        <v>49</v>
      </c>
      <c r="D62" s="48" t="s">
        <v>20</v>
      </c>
      <c r="E62" s="51">
        <v>0</v>
      </c>
    </row>
    <row r="63" spans="2:5" ht="15.6" customHeight="1" thickTop="1" thickBot="1">
      <c r="B63" s="104"/>
      <c r="C63" s="48" t="s">
        <v>50</v>
      </c>
      <c r="D63" s="48" t="s">
        <v>20</v>
      </c>
      <c r="E63" s="51">
        <v>0</v>
      </c>
    </row>
    <row r="64" spans="2:5" ht="15.6" customHeight="1" thickTop="1" thickBot="1">
      <c r="B64" s="104"/>
      <c r="C64" s="48" t="s">
        <v>51</v>
      </c>
      <c r="D64" s="48" t="s">
        <v>20</v>
      </c>
      <c r="E64" s="84">
        <v>0</v>
      </c>
    </row>
    <row r="65" spans="2:5" ht="15.6" customHeight="1" thickTop="1" thickBot="1">
      <c r="B65" s="104"/>
      <c r="C65" s="48" t="s">
        <v>52</v>
      </c>
      <c r="D65" s="48" t="s">
        <v>53</v>
      </c>
      <c r="E65" s="51">
        <v>0</v>
      </c>
    </row>
    <row r="66" spans="2:5" ht="15.6" customHeight="1" thickTop="1" thickBot="1">
      <c r="B66" s="104"/>
      <c r="C66" s="48" t="s">
        <v>54</v>
      </c>
      <c r="D66" s="48" t="s">
        <v>55</v>
      </c>
      <c r="E66" s="51">
        <v>2.15</v>
      </c>
    </row>
    <row r="67" spans="2:5" ht="15.6" customHeight="1" thickTop="1" thickBot="1">
      <c r="B67" s="104"/>
      <c r="C67" s="48" t="s">
        <v>56</v>
      </c>
      <c r="D67" s="48" t="s">
        <v>20</v>
      </c>
      <c r="E67" s="85">
        <f>E59+2*E61</f>
        <v>14.74</v>
      </c>
    </row>
    <row r="68" spans="2:5" ht="15.6" customHeight="1" thickTop="1" thickBot="1">
      <c r="B68" s="104"/>
      <c r="C68" s="48" t="s">
        <v>71</v>
      </c>
      <c r="D68" s="48" t="s">
        <v>24</v>
      </c>
      <c r="E68" s="80">
        <v>0</v>
      </c>
    </row>
    <row r="69" spans="2:5" ht="15.6" customHeight="1" thickTop="1" thickBot="1">
      <c r="B69" s="104"/>
      <c r="C69" s="48" t="s">
        <v>59</v>
      </c>
      <c r="D69" s="48" t="s">
        <v>24</v>
      </c>
      <c r="E69" s="56">
        <v>0</v>
      </c>
    </row>
    <row r="70" spans="2:5" ht="15.6" customHeight="1" thickTop="1" thickBot="1">
      <c r="B70" s="105"/>
      <c r="C70" s="52" t="s">
        <v>60</v>
      </c>
      <c r="D70" s="52" t="s">
        <v>24</v>
      </c>
      <c r="E70" s="57">
        <v>0</v>
      </c>
    </row>
    <row r="71" spans="2:5" ht="15.6" customHeight="1" thickTop="1" thickBot="1">
      <c r="B71" s="103" t="s">
        <v>72</v>
      </c>
      <c r="C71" s="49" t="s">
        <v>73</v>
      </c>
      <c r="D71" s="49" t="s">
        <v>20</v>
      </c>
      <c r="E71" s="50">
        <v>0</v>
      </c>
    </row>
    <row r="72" spans="2:5" ht="15.6" customHeight="1" thickTop="1" thickBot="1">
      <c r="B72" s="104"/>
      <c r="C72" s="48" t="s">
        <v>74</v>
      </c>
      <c r="D72" s="48"/>
      <c r="E72" s="84">
        <v>0</v>
      </c>
    </row>
    <row r="73" spans="2:5" ht="15.6" customHeight="1" thickTop="1" thickBot="1">
      <c r="B73" s="104"/>
      <c r="C73" s="48" t="s">
        <v>39</v>
      </c>
      <c r="D73" s="48"/>
      <c r="E73" s="51">
        <v>0</v>
      </c>
    </row>
    <row r="74" spans="2:5" ht="15.6" customHeight="1" thickTop="1" thickBot="1">
      <c r="B74" s="104"/>
      <c r="C74" s="48" t="s">
        <v>75</v>
      </c>
      <c r="D74" s="48" t="s">
        <v>55</v>
      </c>
      <c r="E74" s="51">
        <v>0</v>
      </c>
    </row>
    <row r="75" spans="2:5" ht="15.6" customHeight="1" thickTop="1" thickBot="1">
      <c r="B75" s="104"/>
      <c r="C75" s="48" t="s">
        <v>76</v>
      </c>
      <c r="D75" s="48" t="s">
        <v>20</v>
      </c>
      <c r="E75" s="85">
        <f>E67+2*E71</f>
        <v>14.74</v>
      </c>
    </row>
    <row r="76" spans="2:5" ht="15.6" customHeight="1" thickTop="1" thickBot="1">
      <c r="B76" s="105"/>
      <c r="C76" s="52" t="s">
        <v>77</v>
      </c>
      <c r="D76" s="52" t="s">
        <v>24</v>
      </c>
      <c r="E76" s="81">
        <f>PI()*(E67+E71)*E71*E74*E72*E73</f>
        <v>0</v>
      </c>
    </row>
    <row r="77" spans="2:5" ht="15.6" customHeight="1" thickTop="1" thickBot="1">
      <c r="B77" s="103" t="s">
        <v>78</v>
      </c>
      <c r="C77" s="49" t="s">
        <v>79</v>
      </c>
      <c r="D77" s="49" t="s">
        <v>20</v>
      </c>
      <c r="E77" s="50">
        <v>0</v>
      </c>
    </row>
    <row r="78" spans="2:5" ht="15.6" customHeight="1" thickTop="1" thickBot="1">
      <c r="B78" s="104"/>
      <c r="C78" s="48" t="s">
        <v>80</v>
      </c>
      <c r="D78" s="48" t="s">
        <v>20</v>
      </c>
      <c r="E78" s="51">
        <v>0</v>
      </c>
    </row>
    <row r="79" spans="2:5" ht="15.6" customHeight="1" thickTop="1" thickBot="1">
      <c r="B79" s="104"/>
      <c r="C79" s="48" t="s">
        <v>81</v>
      </c>
      <c r="D79" s="48" t="s">
        <v>20</v>
      </c>
      <c r="E79" s="51">
        <v>0</v>
      </c>
    </row>
    <row r="80" spans="2:5" ht="15.6" customHeight="1" thickTop="1" thickBot="1">
      <c r="B80" s="104"/>
      <c r="C80" s="48" t="s">
        <v>52</v>
      </c>
      <c r="D80" s="48"/>
      <c r="E80" s="51">
        <v>0</v>
      </c>
    </row>
    <row r="81" spans="2:20" ht="15.6" customHeight="1" thickTop="1" thickBot="1">
      <c r="B81" s="104"/>
      <c r="C81" s="48" t="s">
        <v>82</v>
      </c>
      <c r="D81" s="48" t="s">
        <v>55</v>
      </c>
      <c r="E81" s="51">
        <v>7.8</v>
      </c>
    </row>
    <row r="82" spans="2:20" ht="15.6" customHeight="1" thickTop="1" thickBot="1">
      <c r="B82" s="104"/>
      <c r="C82" s="48" t="s">
        <v>83</v>
      </c>
      <c r="D82" s="48" t="s">
        <v>20</v>
      </c>
      <c r="E82" s="85">
        <f>E75+2*E77*2</f>
        <v>14.74</v>
      </c>
    </row>
    <row r="83" spans="2:20" ht="15.6" customHeight="1" thickTop="1" thickBot="1">
      <c r="B83" s="105"/>
      <c r="C83" s="52" t="s">
        <v>84</v>
      </c>
      <c r="D83" s="52" t="s">
        <v>24</v>
      </c>
      <c r="E83" s="81">
        <v>0</v>
      </c>
    </row>
    <row r="84" spans="2:20" ht="15.6" customHeight="1" thickTop="1" thickBot="1">
      <c r="B84" s="103" t="s">
        <v>85</v>
      </c>
      <c r="C84" s="49" t="s">
        <v>86</v>
      </c>
      <c r="D84" s="49" t="s">
        <v>20</v>
      </c>
      <c r="E84" s="50">
        <v>1.3</v>
      </c>
    </row>
    <row r="85" spans="2:20" ht="15.6" customHeight="1" thickTop="1" thickBot="1">
      <c r="B85" s="104"/>
      <c r="C85" s="48" t="s">
        <v>39</v>
      </c>
      <c r="D85" s="48"/>
      <c r="E85" s="51">
        <v>1.33</v>
      </c>
    </row>
    <row r="86" spans="2:20" ht="15.6" customHeight="1" thickTop="1" thickBot="1">
      <c r="B86" s="104"/>
      <c r="C86" s="48" t="s">
        <v>87</v>
      </c>
      <c r="D86" s="48" t="s">
        <v>55</v>
      </c>
      <c r="E86" s="51">
        <v>1.43</v>
      </c>
    </row>
    <row r="87" spans="2:20" ht="15.6" customHeight="1" thickTop="1" thickBot="1">
      <c r="B87" s="104"/>
      <c r="C87" s="48" t="s">
        <v>88</v>
      </c>
      <c r="D87" s="48" t="s">
        <v>24</v>
      </c>
      <c r="E87" s="80">
        <f>PI()*(E82+E84)*E84*E86*E85</f>
        <v>124.59059715506733</v>
      </c>
    </row>
    <row r="88" spans="2:20" ht="15.6" customHeight="1" thickTop="1" thickBot="1">
      <c r="B88" s="104"/>
      <c r="C88" s="48" t="s">
        <v>89</v>
      </c>
      <c r="D88" s="48" t="s">
        <v>24</v>
      </c>
      <c r="E88" s="80">
        <v>0</v>
      </c>
    </row>
    <row r="89" spans="2:20" ht="15.6" customHeight="1" thickTop="1" thickBot="1">
      <c r="B89" s="105"/>
      <c r="C89" s="52" t="s">
        <v>90</v>
      </c>
      <c r="D89" s="52" t="s">
        <v>20</v>
      </c>
      <c r="E89" s="86">
        <f>E82+2*E84</f>
        <v>17.34</v>
      </c>
    </row>
    <row r="90" spans="2:20" ht="15" customHeight="1" thickTop="1"/>
    <row r="91" spans="2:20" ht="15" customHeight="1" thickBot="1"/>
    <row r="92" spans="2:20" s="2" customFormat="1" ht="44.45" customHeight="1" thickTop="1" thickBot="1">
      <c r="H92" s="87" t="s">
        <v>91</v>
      </c>
      <c r="I92" s="87" t="s">
        <v>92</v>
      </c>
      <c r="J92" s="87" t="s">
        <v>93</v>
      </c>
      <c r="K92" s="87" t="s">
        <v>94</v>
      </c>
      <c r="L92" s="87" t="s">
        <v>95</v>
      </c>
      <c r="M92" s="87" t="s">
        <v>96</v>
      </c>
      <c r="N92" s="87" t="s">
        <v>97</v>
      </c>
      <c r="O92" s="87" t="s">
        <v>98</v>
      </c>
      <c r="P92" s="87" t="s">
        <v>99</v>
      </c>
      <c r="Q92" s="87" t="s">
        <v>100</v>
      </c>
      <c r="R92" s="87" t="s">
        <v>101</v>
      </c>
      <c r="S92" s="87" t="s">
        <v>102</v>
      </c>
      <c r="T92" s="87" t="s">
        <v>103</v>
      </c>
    </row>
    <row r="93" spans="2:20" ht="15.6" customHeight="1" thickTop="1" thickBot="1">
      <c r="H93" s="88">
        <f>IF(E10=0.3,E14,0)</f>
        <v>173.33716104765358</v>
      </c>
      <c r="I93" s="88">
        <f>IF(E10=0.26,E14,0)</f>
        <v>0</v>
      </c>
      <c r="J93" s="88">
        <f>E15</f>
        <v>4.160091865143686</v>
      </c>
      <c r="K93" s="88">
        <f>E41+E69</f>
        <v>0</v>
      </c>
      <c r="L93" s="88">
        <f>E42+E70</f>
        <v>0</v>
      </c>
      <c r="M93" s="88">
        <f>E18+E21</f>
        <v>0</v>
      </c>
      <c r="N93" s="88">
        <f>IF(E24=0.8,E27,0)</f>
        <v>0</v>
      </c>
      <c r="O93" s="88">
        <f>IF(E24=1.43,E27,0)+E76+E87</f>
        <v>311.72648540544412</v>
      </c>
      <c r="P93" s="88">
        <f>E40+E68</f>
        <v>0</v>
      </c>
      <c r="Q93" s="88">
        <f>IF(E43=0.02,E50,0)+IF(E53=0.02,E60,0)</f>
        <v>2.8833807713294952</v>
      </c>
      <c r="R93" s="88">
        <f>IF(E43=0.05,E50,0)+IF(E53=0.05,E60,0)</f>
        <v>0</v>
      </c>
      <c r="S93" s="88">
        <f>E83</f>
        <v>0</v>
      </c>
      <c r="T93" s="88">
        <f>E28+E88</f>
        <v>3.8175721203076862</v>
      </c>
    </row>
    <row r="94" spans="2:20" ht="15" customHeight="1" thickTop="1"/>
  </sheetData>
  <mergeCells count="13">
    <mergeCell ref="B3:B5"/>
    <mergeCell ref="B6:B15"/>
    <mergeCell ref="B51:B52"/>
    <mergeCell ref="B53:B60"/>
    <mergeCell ref="B61:B70"/>
    <mergeCell ref="B71:B76"/>
    <mergeCell ref="B77:B83"/>
    <mergeCell ref="B84:B89"/>
    <mergeCell ref="B16:B22"/>
    <mergeCell ref="B23:B29"/>
    <mergeCell ref="B30:B31"/>
    <mergeCell ref="B32:B42"/>
    <mergeCell ref="B43:B50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5"/>
  <dimension ref="A2:V155"/>
  <sheetViews>
    <sheetView workbookViewId="0">
      <selection activeCell="B10" sqref="B10:U10"/>
    </sheetView>
  </sheetViews>
  <sheetFormatPr defaultRowHeight="15"/>
  <cols>
    <col min="1" max="1" width="13.7109375" customWidth="1"/>
    <col min="6" max="6" width="18.7109375" customWidth="1"/>
    <col min="10" max="10" width="19.5703125" customWidth="1"/>
    <col min="11" max="11" width="15.5703125" customWidth="1"/>
    <col min="15" max="15" width="15.28515625" customWidth="1"/>
    <col min="17" max="17" width="14.28515625" customWidth="1"/>
    <col min="18" max="18" width="17" customWidth="1"/>
  </cols>
  <sheetData>
    <row r="2" spans="1:22">
      <c r="A2" t="s">
        <v>104</v>
      </c>
    </row>
    <row r="4" spans="1:22">
      <c r="A4" t="s">
        <v>105</v>
      </c>
    </row>
    <row r="6" spans="1:22" ht="57.6" customHeight="1">
      <c r="A6" s="2" t="s">
        <v>106</v>
      </c>
      <c r="B6" s="2" t="s">
        <v>107</v>
      </c>
      <c r="C6" s="2" t="s">
        <v>108</v>
      </c>
      <c r="D6" s="2" t="s">
        <v>109</v>
      </c>
      <c r="E6" s="2" t="s">
        <v>110</v>
      </c>
      <c r="F6" s="2" t="s">
        <v>111</v>
      </c>
      <c r="G6" s="2" t="s">
        <v>112</v>
      </c>
      <c r="H6" s="2" t="s">
        <v>113</v>
      </c>
      <c r="I6" s="2" t="s">
        <v>114</v>
      </c>
      <c r="J6" s="2" t="s">
        <v>115</v>
      </c>
      <c r="K6" s="2" t="s">
        <v>116</v>
      </c>
      <c r="L6" s="2" t="s">
        <v>117</v>
      </c>
      <c r="M6" s="2" t="s">
        <v>118</v>
      </c>
      <c r="N6" s="2" t="s">
        <v>119</v>
      </c>
      <c r="O6" s="2" t="s">
        <v>120</v>
      </c>
      <c r="P6" s="2" t="s">
        <v>112</v>
      </c>
      <c r="Q6" s="2" t="s">
        <v>121</v>
      </c>
      <c r="R6" s="2" t="s">
        <v>122</v>
      </c>
      <c r="S6" s="2" t="s">
        <v>123</v>
      </c>
      <c r="T6" s="2" t="s">
        <v>124</v>
      </c>
      <c r="U6" s="2" t="s">
        <v>125</v>
      </c>
      <c r="V6" s="2"/>
    </row>
    <row r="7" spans="1:22" ht="43.9" customHeight="1" thickBot="1">
      <c r="A7" s="2" t="s">
        <v>126</v>
      </c>
      <c r="B7" s="2"/>
      <c r="C7" s="2" t="s">
        <v>127</v>
      </c>
      <c r="D7" s="2" t="s">
        <v>128</v>
      </c>
      <c r="E7" s="2" t="s">
        <v>129</v>
      </c>
      <c r="F7" s="2" t="s">
        <v>130</v>
      </c>
      <c r="G7" s="2" t="s">
        <v>131</v>
      </c>
      <c r="H7" s="2" t="s">
        <v>132</v>
      </c>
      <c r="I7" s="2" t="s">
        <v>133</v>
      </c>
      <c r="J7" s="2" t="s">
        <v>134</v>
      </c>
      <c r="K7" s="2" t="s">
        <v>135</v>
      </c>
      <c r="L7" s="2" t="s">
        <v>136</v>
      </c>
      <c r="M7" s="2" t="s">
        <v>137</v>
      </c>
      <c r="N7" s="2" t="s">
        <v>138</v>
      </c>
      <c r="O7" s="2" t="s">
        <v>139</v>
      </c>
      <c r="P7" s="2" t="s">
        <v>131</v>
      </c>
      <c r="Q7" s="2" t="s">
        <v>140</v>
      </c>
      <c r="R7" s="2" t="s">
        <v>141</v>
      </c>
      <c r="S7" s="2" t="s">
        <v>142</v>
      </c>
      <c r="T7" s="2"/>
      <c r="U7" s="2"/>
      <c r="V7" s="2"/>
    </row>
    <row r="8" spans="1:22" ht="15" customHeight="1" thickBot="1">
      <c r="A8">
        <v>1</v>
      </c>
      <c r="B8" t="s">
        <v>143</v>
      </c>
      <c r="C8">
        <v>0.3</v>
      </c>
      <c r="D8">
        <v>0.3</v>
      </c>
      <c r="E8" s="37">
        <f t="shared" ref="E8:E39" si="0">A8+J8</f>
        <v>1.3</v>
      </c>
      <c r="F8">
        <v>0</v>
      </c>
      <c r="G8" s="71">
        <f t="shared" ref="G8:G39" si="1">100/(100-F8)</f>
        <v>1</v>
      </c>
      <c r="H8" s="39">
        <f t="shared" ref="H8:H39" si="2">3.1415926*E8*M8</f>
        <v>0.3</v>
      </c>
      <c r="I8">
        <v>0.3</v>
      </c>
      <c r="J8" s="71">
        <f t="shared" ref="J8:J39" si="3">G8*C8</f>
        <v>0.3</v>
      </c>
      <c r="K8" s="71">
        <f t="shared" ref="K8:K39" si="4">A8+2*J8</f>
        <v>1.6</v>
      </c>
      <c r="L8" s="72">
        <f t="shared" ref="L8:L39" si="5">ATAN(I8/(3.1415926*(A8+J8)))*180/3.1415926</f>
        <v>4.2011808274159463</v>
      </c>
      <c r="M8" s="73">
        <f t="shared" ref="M8:M39" si="6">I8/(3.1415926*(A8+J8))</f>
        <v>7.3456128833901235E-2</v>
      </c>
      <c r="N8" s="73">
        <f t="shared" ref="N8:N39" si="7">COS(L8*3.1415926/180)</f>
        <v>0.99731296771438427</v>
      </c>
      <c r="O8" s="74">
        <f t="shared" ref="O8:O39" si="8">(D8-I8*N8)/D8*100</f>
        <v>0.26870322856157686</v>
      </c>
      <c r="P8" s="75">
        <f t="shared" ref="P8:P39" si="9">100/(100-O8)</f>
        <v>1.0026942718811467</v>
      </c>
      <c r="Q8" s="37">
        <f t="shared" ref="Q8:Q39" si="10">P8*C8</f>
        <v>0.30080828156434397</v>
      </c>
      <c r="R8" s="43">
        <f t="shared" ref="R8:R39" si="11">A8+2*Q8</f>
        <v>1.6016165631286881</v>
      </c>
      <c r="S8" s="76">
        <f t="shared" ref="S8:S39" si="12">SIN(L8*3.1415926/180)</f>
        <v>7.3258749844148208E-2</v>
      </c>
      <c r="T8">
        <v>7.8</v>
      </c>
      <c r="U8" s="47">
        <f t="shared" ref="U8:U39" si="13">3.14*(A8+Q8)*Q8*T8*P8</f>
        <v>9.6093910363691784</v>
      </c>
    </row>
    <row r="9" spans="1:22" ht="15" customHeight="1" thickBot="1">
      <c r="A9">
        <v>1.5</v>
      </c>
      <c r="B9" t="s">
        <v>143</v>
      </c>
      <c r="C9">
        <v>0.3</v>
      </c>
      <c r="D9">
        <v>0.3</v>
      </c>
      <c r="E9" s="37">
        <f t="shared" si="0"/>
        <v>1.8</v>
      </c>
      <c r="F9">
        <v>0</v>
      </c>
      <c r="G9" s="71">
        <f t="shared" si="1"/>
        <v>1</v>
      </c>
      <c r="H9" s="39">
        <f t="shared" si="2"/>
        <v>0.3</v>
      </c>
      <c r="I9">
        <v>0.3</v>
      </c>
      <c r="J9" s="71">
        <f t="shared" si="3"/>
        <v>0.3</v>
      </c>
      <c r="K9" s="71">
        <f t="shared" si="4"/>
        <v>2.1</v>
      </c>
      <c r="L9" s="72">
        <f t="shared" si="5"/>
        <v>3.0367887569424195</v>
      </c>
      <c r="M9" s="73">
        <f t="shared" si="6"/>
        <v>5.3051648602262004E-2</v>
      </c>
      <c r="N9" s="73">
        <f t="shared" si="7"/>
        <v>0.99859572482162395</v>
      </c>
      <c r="O9" s="74">
        <f t="shared" si="8"/>
        <v>0.14042751783760465</v>
      </c>
      <c r="P9" s="75">
        <f t="shared" si="9"/>
        <v>1.0014062499402618</v>
      </c>
      <c r="Q9" s="37">
        <f t="shared" si="10"/>
        <v>0.30042187498207856</v>
      </c>
      <c r="R9" s="43">
        <f t="shared" si="11"/>
        <v>2.1008437499641572</v>
      </c>
      <c r="S9" s="76">
        <f t="shared" si="12"/>
        <v>5.2977149488957924E-2</v>
      </c>
      <c r="T9">
        <v>7.8</v>
      </c>
      <c r="U9" s="47">
        <f t="shared" si="13"/>
        <v>13.266011870563553</v>
      </c>
    </row>
    <row r="10" spans="1:22" ht="15" customHeight="1" thickBot="1">
      <c r="A10">
        <v>2</v>
      </c>
      <c r="B10" t="s">
        <v>143</v>
      </c>
      <c r="C10">
        <v>0.3</v>
      </c>
      <c r="D10">
        <v>0.3</v>
      </c>
      <c r="E10" s="37">
        <f t="shared" si="0"/>
        <v>2.2999999999999998</v>
      </c>
      <c r="F10">
        <v>0</v>
      </c>
      <c r="G10" s="71">
        <f t="shared" si="1"/>
        <v>1</v>
      </c>
      <c r="H10" s="39">
        <f t="shared" si="2"/>
        <v>0.3</v>
      </c>
      <c r="I10">
        <v>0.3</v>
      </c>
      <c r="J10" s="71">
        <f t="shared" si="3"/>
        <v>0.3</v>
      </c>
      <c r="K10" s="71">
        <f t="shared" si="4"/>
        <v>2.6</v>
      </c>
      <c r="L10" s="72">
        <f t="shared" si="5"/>
        <v>2.377479789116713</v>
      </c>
      <c r="M10" s="73">
        <f t="shared" si="6"/>
        <v>4.1518681514813749E-2</v>
      </c>
      <c r="N10" s="73">
        <f t="shared" si="7"/>
        <v>0.99913921225293878</v>
      </c>
      <c r="O10" s="74">
        <f t="shared" si="8"/>
        <v>8.6078774706122019E-2</v>
      </c>
      <c r="P10" s="75">
        <f t="shared" si="9"/>
        <v>1.0008615293409617</v>
      </c>
      <c r="Q10" s="37">
        <f t="shared" si="10"/>
        <v>0.30025845880228852</v>
      </c>
      <c r="R10" s="43">
        <f t="shared" si="11"/>
        <v>2.600516917604577</v>
      </c>
      <c r="S10" s="76">
        <f t="shared" si="12"/>
        <v>4.1482942742491674E-2</v>
      </c>
      <c r="T10">
        <v>7.8</v>
      </c>
      <c r="U10" s="47">
        <f t="shared" si="13"/>
        <v>16.930513664565531</v>
      </c>
    </row>
    <row r="11" spans="1:22" ht="15" customHeight="1" thickBot="1">
      <c r="A11">
        <v>2.5</v>
      </c>
      <c r="B11" t="s">
        <v>143</v>
      </c>
      <c r="C11">
        <v>0.3</v>
      </c>
      <c r="D11">
        <v>0.3</v>
      </c>
      <c r="E11" s="37">
        <f t="shared" si="0"/>
        <v>2.8</v>
      </c>
      <c r="F11">
        <v>0</v>
      </c>
      <c r="G11" s="71">
        <f t="shared" si="1"/>
        <v>1</v>
      </c>
      <c r="H11" s="39">
        <f t="shared" si="2"/>
        <v>0.3</v>
      </c>
      <c r="I11">
        <v>0.3</v>
      </c>
      <c r="J11" s="71">
        <f t="shared" si="3"/>
        <v>0.3</v>
      </c>
      <c r="K11" s="71">
        <f t="shared" si="4"/>
        <v>3.1</v>
      </c>
      <c r="L11" s="72">
        <f t="shared" si="5"/>
        <v>1.9532943911499088</v>
      </c>
      <c r="M11" s="73">
        <f t="shared" si="6"/>
        <v>3.4104631244311297E-2</v>
      </c>
      <c r="N11" s="73">
        <f t="shared" si="7"/>
        <v>0.9994189438957839</v>
      </c>
      <c r="O11" s="74">
        <f t="shared" si="8"/>
        <v>5.8105610421614148E-2</v>
      </c>
      <c r="P11" s="75">
        <f t="shared" si="9"/>
        <v>1.0005813939267063</v>
      </c>
      <c r="Q11" s="37">
        <f t="shared" si="10"/>
        <v>0.30017441817801188</v>
      </c>
      <c r="R11" s="43">
        <f t="shared" si="11"/>
        <v>3.1003488363560239</v>
      </c>
      <c r="S11" s="76">
        <f t="shared" si="12"/>
        <v>3.4084814540144746E-2</v>
      </c>
      <c r="T11">
        <v>7.8</v>
      </c>
      <c r="U11" s="47">
        <f t="shared" si="13"/>
        <v>20.598492359860835</v>
      </c>
    </row>
    <row r="12" spans="1:22" ht="15" customHeight="1" thickBot="1">
      <c r="A12">
        <v>3</v>
      </c>
      <c r="B12" t="s">
        <v>143</v>
      </c>
      <c r="C12">
        <v>0.3</v>
      </c>
      <c r="D12">
        <v>0.3</v>
      </c>
      <c r="E12" s="37">
        <f t="shared" si="0"/>
        <v>3.3</v>
      </c>
      <c r="F12">
        <v>0</v>
      </c>
      <c r="G12" s="71">
        <f t="shared" si="1"/>
        <v>1</v>
      </c>
      <c r="H12" s="39">
        <f t="shared" si="2"/>
        <v>0.3</v>
      </c>
      <c r="I12">
        <v>0.3</v>
      </c>
      <c r="J12" s="71">
        <f t="shared" si="3"/>
        <v>0.3</v>
      </c>
      <c r="K12" s="71">
        <f t="shared" si="4"/>
        <v>3.6</v>
      </c>
      <c r="L12" s="72">
        <f t="shared" si="5"/>
        <v>1.6575205148944028</v>
      </c>
      <c r="M12" s="73">
        <f t="shared" si="6"/>
        <v>2.8937262873961093E-2</v>
      </c>
      <c r="N12" s="73">
        <f t="shared" si="7"/>
        <v>0.9995815801680018</v>
      </c>
      <c r="O12" s="74">
        <f t="shared" si="8"/>
        <v>4.1841983199823282E-2</v>
      </c>
      <c r="P12" s="75">
        <f t="shared" si="9"/>
        <v>1.0004185949804396</v>
      </c>
      <c r="Q12" s="37">
        <f t="shared" si="10"/>
        <v>0.30012557849413185</v>
      </c>
      <c r="R12" s="43">
        <f t="shared" si="11"/>
        <v>3.6002511569882638</v>
      </c>
      <c r="S12" s="76">
        <f t="shared" si="12"/>
        <v>2.8925154949290884E-2</v>
      </c>
      <c r="T12">
        <v>7.8</v>
      </c>
      <c r="U12" s="47">
        <f t="shared" si="13"/>
        <v>24.268307133753403</v>
      </c>
    </row>
    <row r="13" spans="1:22" ht="15" customHeight="1" thickBot="1">
      <c r="A13">
        <v>3.5</v>
      </c>
      <c r="B13" t="s">
        <v>143</v>
      </c>
      <c r="C13">
        <v>0.3</v>
      </c>
      <c r="D13">
        <v>0.3</v>
      </c>
      <c r="E13" s="37">
        <f t="shared" si="0"/>
        <v>3.8</v>
      </c>
      <c r="F13">
        <v>0</v>
      </c>
      <c r="G13" s="71">
        <f t="shared" si="1"/>
        <v>1</v>
      </c>
      <c r="H13" s="39">
        <f t="shared" si="2"/>
        <v>0.3</v>
      </c>
      <c r="I13">
        <v>0.3</v>
      </c>
      <c r="J13" s="71">
        <f t="shared" si="3"/>
        <v>0.3</v>
      </c>
      <c r="K13" s="71">
        <f t="shared" si="4"/>
        <v>4.0999999999999996</v>
      </c>
      <c r="L13" s="72">
        <f t="shared" si="5"/>
        <v>1.4395244251822357</v>
      </c>
      <c r="M13" s="73">
        <f t="shared" si="6"/>
        <v>2.5129728285282003E-2</v>
      </c>
      <c r="N13" s="73">
        <f t="shared" si="7"/>
        <v>0.99968439784812713</v>
      </c>
      <c r="O13" s="74">
        <f t="shared" si="8"/>
        <v>3.1560215187279958E-2</v>
      </c>
      <c r="P13" s="75">
        <f t="shared" si="9"/>
        <v>1.0003157017880364</v>
      </c>
      <c r="Q13" s="37">
        <f t="shared" si="10"/>
        <v>0.3000947105364109</v>
      </c>
      <c r="R13" s="43">
        <f t="shared" si="11"/>
        <v>4.1001894210728214</v>
      </c>
      <c r="S13" s="76">
        <f t="shared" si="12"/>
        <v>2.5121797288959188E-2</v>
      </c>
      <c r="T13">
        <v>7.8</v>
      </c>
      <c r="U13" s="47">
        <f t="shared" si="13"/>
        <v>27.939208460884096</v>
      </c>
    </row>
    <row r="14" spans="1:22" ht="15" customHeight="1" thickBot="1">
      <c r="A14">
        <v>4</v>
      </c>
      <c r="B14" t="s">
        <v>143</v>
      </c>
      <c r="C14">
        <v>0.3</v>
      </c>
      <c r="D14">
        <v>0.3</v>
      </c>
      <c r="E14" s="37">
        <f t="shared" si="0"/>
        <v>4.3</v>
      </c>
      <c r="F14">
        <v>0</v>
      </c>
      <c r="G14" s="71">
        <f t="shared" si="1"/>
        <v>1</v>
      </c>
      <c r="H14" s="39">
        <f t="shared" si="2"/>
        <v>0.3</v>
      </c>
      <c r="I14">
        <v>0.3</v>
      </c>
      <c r="J14" s="71">
        <f t="shared" si="3"/>
        <v>0.3</v>
      </c>
      <c r="K14" s="71">
        <f t="shared" si="4"/>
        <v>4.5999999999999996</v>
      </c>
      <c r="L14" s="72">
        <f t="shared" si="5"/>
        <v>1.272196492107738</v>
      </c>
      <c r="M14" s="73">
        <f t="shared" si="6"/>
        <v>2.220766685676084E-2</v>
      </c>
      <c r="N14" s="73">
        <f t="shared" si="7"/>
        <v>0.99975350093903481</v>
      </c>
      <c r="O14" s="74">
        <f t="shared" si="8"/>
        <v>2.4649906096518848E-2</v>
      </c>
      <c r="P14" s="75">
        <f t="shared" si="9"/>
        <v>1.0002465598377337</v>
      </c>
      <c r="Q14" s="37">
        <f t="shared" si="10"/>
        <v>0.30007396795132008</v>
      </c>
      <c r="R14" s="43">
        <f t="shared" si="11"/>
        <v>4.6001479359026405</v>
      </c>
      <c r="S14" s="76">
        <f t="shared" si="12"/>
        <v>2.2202192687734424E-2</v>
      </c>
      <c r="T14">
        <v>7.8</v>
      </c>
      <c r="U14" s="47">
        <f t="shared" si="13"/>
        <v>31.610805634000346</v>
      </c>
    </row>
    <row r="15" spans="1:22" ht="15" customHeight="1" thickBot="1">
      <c r="A15">
        <v>4.5</v>
      </c>
      <c r="B15" t="s">
        <v>143</v>
      </c>
      <c r="C15">
        <v>0.3</v>
      </c>
      <c r="D15">
        <v>0.3</v>
      </c>
      <c r="E15" s="37">
        <f t="shared" si="0"/>
        <v>4.8</v>
      </c>
      <c r="F15">
        <v>0</v>
      </c>
      <c r="G15" s="71">
        <f t="shared" si="1"/>
        <v>1</v>
      </c>
      <c r="H15" s="39">
        <f t="shared" si="2"/>
        <v>0.3</v>
      </c>
      <c r="I15">
        <v>0.3</v>
      </c>
      <c r="J15" s="71">
        <f t="shared" si="3"/>
        <v>0.3</v>
      </c>
      <c r="K15" s="71">
        <f t="shared" si="4"/>
        <v>5.0999999999999996</v>
      </c>
      <c r="L15" s="72">
        <f t="shared" si="5"/>
        <v>1.1397130099555712</v>
      </c>
      <c r="M15" s="73">
        <f t="shared" si="6"/>
        <v>1.9894368225848252E-2</v>
      </c>
      <c r="N15" s="73">
        <f t="shared" si="7"/>
        <v>0.99980216577950498</v>
      </c>
      <c r="O15" s="74">
        <f t="shared" si="8"/>
        <v>1.9783422049501898E-2</v>
      </c>
      <c r="P15" s="75">
        <f t="shared" si="9"/>
        <v>1.0001978733666181</v>
      </c>
      <c r="Q15" s="37">
        <f t="shared" si="10"/>
        <v>0.30005936200998545</v>
      </c>
      <c r="R15" s="43">
        <f t="shared" si="11"/>
        <v>5.1001187240199712</v>
      </c>
      <c r="S15" s="76">
        <f t="shared" si="12"/>
        <v>1.9890432439018047E-2</v>
      </c>
      <c r="T15">
        <v>7.8</v>
      </c>
      <c r="U15" s="47">
        <f t="shared" si="13"/>
        <v>35.282875107577489</v>
      </c>
    </row>
    <row r="16" spans="1:22" ht="15" customHeight="1" thickBot="1">
      <c r="A16">
        <v>5</v>
      </c>
      <c r="B16" t="s">
        <v>143</v>
      </c>
      <c r="C16">
        <v>0.3</v>
      </c>
      <c r="D16">
        <v>0.3</v>
      </c>
      <c r="E16" s="37">
        <f t="shared" si="0"/>
        <v>5.3</v>
      </c>
      <c r="F16">
        <v>0</v>
      </c>
      <c r="G16" s="71">
        <f t="shared" si="1"/>
        <v>1</v>
      </c>
      <c r="H16" s="39">
        <f t="shared" si="2"/>
        <v>0.3</v>
      </c>
      <c r="I16">
        <v>0.3</v>
      </c>
      <c r="J16" s="71">
        <f t="shared" si="3"/>
        <v>0.3</v>
      </c>
      <c r="K16" s="71">
        <f t="shared" si="4"/>
        <v>5.6</v>
      </c>
      <c r="L16" s="72">
        <f t="shared" si="5"/>
        <v>1.0322173889134474</v>
      </c>
      <c r="M16" s="73">
        <f t="shared" si="6"/>
        <v>1.8017541034730491E-2</v>
      </c>
      <c r="N16" s="73">
        <f t="shared" si="7"/>
        <v>0.99983772361651624</v>
      </c>
      <c r="O16" s="74">
        <f t="shared" si="8"/>
        <v>1.6227638348372452E-2</v>
      </c>
      <c r="P16" s="75">
        <f t="shared" si="9"/>
        <v>1.0001623027213824</v>
      </c>
      <c r="Q16" s="37">
        <f t="shared" si="10"/>
        <v>0.30004869081641472</v>
      </c>
      <c r="R16" s="43">
        <f t="shared" si="11"/>
        <v>5.6000973816328292</v>
      </c>
      <c r="S16" s="76">
        <f t="shared" si="12"/>
        <v>1.8014617213332106E-2</v>
      </c>
      <c r="T16">
        <v>7.8</v>
      </c>
      <c r="U16" s="47">
        <f t="shared" si="13"/>
        <v>38.955279778649135</v>
      </c>
    </row>
    <row r="17" spans="1:21" ht="15" customHeight="1" thickBot="1">
      <c r="A17">
        <v>5.5</v>
      </c>
      <c r="B17" t="s">
        <v>143</v>
      </c>
      <c r="C17">
        <v>0.3</v>
      </c>
      <c r="D17">
        <v>0.3</v>
      </c>
      <c r="E17" s="37">
        <f t="shared" si="0"/>
        <v>5.8</v>
      </c>
      <c r="F17">
        <v>0</v>
      </c>
      <c r="G17" s="71">
        <f t="shared" si="1"/>
        <v>1</v>
      </c>
      <c r="H17" s="39">
        <f t="shared" si="2"/>
        <v>0.3</v>
      </c>
      <c r="I17">
        <v>0.3</v>
      </c>
      <c r="J17" s="71">
        <f t="shared" si="3"/>
        <v>0.3</v>
      </c>
      <c r="K17" s="71">
        <f t="shared" si="4"/>
        <v>6.1</v>
      </c>
      <c r="L17" s="72">
        <f t="shared" si="5"/>
        <v>0.94324996642258396</v>
      </c>
      <c r="M17" s="73">
        <f t="shared" si="6"/>
        <v>1.6464304738633039E-2</v>
      </c>
      <c r="N17" s="73">
        <f t="shared" si="7"/>
        <v>0.99986449088379503</v>
      </c>
      <c r="O17" s="74">
        <f t="shared" si="8"/>
        <v>1.3550911620493119E-2</v>
      </c>
      <c r="P17" s="75">
        <f t="shared" si="9"/>
        <v>1.0001355274814143</v>
      </c>
      <c r="Q17" s="37">
        <f t="shared" si="10"/>
        <v>0.30004065824442427</v>
      </c>
      <c r="R17" s="43">
        <f t="shared" si="11"/>
        <v>6.1000813164888488</v>
      </c>
      <c r="S17" s="76">
        <f t="shared" si="12"/>
        <v>1.6462073675248979E-2</v>
      </c>
      <c r="T17">
        <v>7.8</v>
      </c>
      <c r="U17" s="47">
        <f t="shared" si="13"/>
        <v>42.627930904236912</v>
      </c>
    </row>
    <row r="18" spans="1:21" ht="15" customHeight="1" thickBot="1">
      <c r="A18">
        <v>6</v>
      </c>
      <c r="B18" t="s">
        <v>143</v>
      </c>
      <c r="C18">
        <v>0.3</v>
      </c>
      <c r="D18">
        <v>0.3</v>
      </c>
      <c r="E18" s="37">
        <f t="shared" si="0"/>
        <v>6.3</v>
      </c>
      <c r="F18">
        <v>0</v>
      </c>
      <c r="G18" s="71">
        <f t="shared" si="1"/>
        <v>1</v>
      </c>
      <c r="H18" s="39">
        <f t="shared" si="2"/>
        <v>0.3</v>
      </c>
      <c r="I18">
        <v>0.3</v>
      </c>
      <c r="J18" s="71">
        <f t="shared" si="3"/>
        <v>0.3</v>
      </c>
      <c r="K18" s="71">
        <f t="shared" si="4"/>
        <v>6.6</v>
      </c>
      <c r="L18" s="72">
        <f t="shared" si="5"/>
        <v>0.8684008160935125</v>
      </c>
      <c r="M18" s="73">
        <f t="shared" si="6"/>
        <v>1.5157613886360574E-2</v>
      </c>
      <c r="N18" s="73">
        <f t="shared" si="7"/>
        <v>0.99988514316180677</v>
      </c>
      <c r="O18" s="74">
        <f t="shared" si="8"/>
        <v>1.1485683819330758E-2</v>
      </c>
      <c r="P18" s="75">
        <f t="shared" si="9"/>
        <v>1.0001148700318019</v>
      </c>
      <c r="Q18" s="37">
        <f t="shared" si="10"/>
        <v>0.30003446100954057</v>
      </c>
      <c r="R18" s="43">
        <f t="shared" si="11"/>
        <v>6.6000689220190809</v>
      </c>
      <c r="S18" s="76">
        <f t="shared" si="12"/>
        <v>1.5155872930755033E-2</v>
      </c>
      <c r="T18">
        <v>7.8</v>
      </c>
      <c r="U18" s="47">
        <f t="shared" si="13"/>
        <v>46.300768514664661</v>
      </c>
    </row>
    <row r="19" spans="1:21" ht="15" customHeight="1" thickBot="1">
      <c r="A19">
        <v>6.5</v>
      </c>
      <c r="B19" t="s">
        <v>143</v>
      </c>
      <c r="C19">
        <v>0.3</v>
      </c>
      <c r="D19">
        <v>0.3</v>
      </c>
      <c r="E19" s="37">
        <f t="shared" si="0"/>
        <v>6.8</v>
      </c>
      <c r="F19">
        <v>0</v>
      </c>
      <c r="G19" s="71">
        <f t="shared" si="1"/>
        <v>1</v>
      </c>
      <c r="H19" s="39">
        <f t="shared" si="2"/>
        <v>0.3</v>
      </c>
      <c r="I19">
        <v>0.3</v>
      </c>
      <c r="J19" s="71">
        <f t="shared" si="3"/>
        <v>0.3</v>
      </c>
      <c r="K19" s="71">
        <f t="shared" si="4"/>
        <v>7.1</v>
      </c>
      <c r="L19" s="72">
        <f t="shared" si="5"/>
        <v>0.80455654136351662</v>
      </c>
      <c r="M19" s="73">
        <f t="shared" si="6"/>
        <v>1.4043083453539941E-2</v>
      </c>
      <c r="N19" s="73">
        <f t="shared" si="7"/>
        <v>0.99990141048531389</v>
      </c>
      <c r="O19" s="74">
        <f t="shared" si="8"/>
        <v>9.8589514686183346E-3</v>
      </c>
      <c r="P19" s="75">
        <f t="shared" si="9"/>
        <v>1.0000985992355369</v>
      </c>
      <c r="Q19" s="37">
        <f t="shared" si="10"/>
        <v>0.30002957977066108</v>
      </c>
      <c r="R19" s="43">
        <f t="shared" si="11"/>
        <v>7.1000591595413223</v>
      </c>
      <c r="S19" s="76">
        <f t="shared" si="12"/>
        <v>1.404169895275756E-2</v>
      </c>
      <c r="T19">
        <v>7.8</v>
      </c>
      <c r="U19" s="47">
        <f t="shared" si="13"/>
        <v>49.973750630226796</v>
      </c>
    </row>
    <row r="20" spans="1:21" ht="15" customHeight="1" thickBot="1">
      <c r="A20">
        <v>7</v>
      </c>
      <c r="B20" t="s">
        <v>143</v>
      </c>
      <c r="C20">
        <v>0.3</v>
      </c>
      <c r="D20">
        <v>0.3</v>
      </c>
      <c r="E20" s="37">
        <f t="shared" si="0"/>
        <v>7.3</v>
      </c>
      <c r="F20">
        <v>0</v>
      </c>
      <c r="G20" s="71">
        <f t="shared" si="1"/>
        <v>1</v>
      </c>
      <c r="H20" s="39">
        <f t="shared" si="2"/>
        <v>0.3</v>
      </c>
      <c r="I20">
        <v>0.3</v>
      </c>
      <c r="J20" s="71">
        <f t="shared" si="3"/>
        <v>0.3</v>
      </c>
      <c r="K20" s="71">
        <f t="shared" si="4"/>
        <v>7.6</v>
      </c>
      <c r="L20" s="72">
        <f t="shared" si="5"/>
        <v>0.74945644555983737</v>
      </c>
      <c r="M20" s="73">
        <f t="shared" si="6"/>
        <v>1.3081228422475564E-2</v>
      </c>
      <c r="N20" s="73">
        <f t="shared" si="7"/>
        <v>0.99991445171049653</v>
      </c>
      <c r="O20" s="74">
        <f t="shared" si="8"/>
        <v>8.5548289503467601E-3</v>
      </c>
      <c r="P20" s="75">
        <f t="shared" si="9"/>
        <v>1.0000855556086394</v>
      </c>
      <c r="Q20" s="37">
        <f t="shared" si="10"/>
        <v>0.30002566668259184</v>
      </c>
      <c r="R20" s="43">
        <f t="shared" si="11"/>
        <v>7.600051333365184</v>
      </c>
      <c r="S20" s="76">
        <f t="shared" si="12"/>
        <v>1.3080109345759417E-2</v>
      </c>
      <c r="T20">
        <v>7.8</v>
      </c>
      <c r="U20" s="47">
        <f t="shared" si="13"/>
        <v>53.646846987896168</v>
      </c>
    </row>
    <row r="21" spans="1:21" ht="15" customHeight="1" thickBot="1">
      <c r="A21">
        <v>7.5</v>
      </c>
      <c r="B21" t="s">
        <v>143</v>
      </c>
      <c r="C21">
        <v>0.3</v>
      </c>
      <c r="D21">
        <v>0.3</v>
      </c>
      <c r="E21" s="37">
        <f t="shared" si="0"/>
        <v>7.8</v>
      </c>
      <c r="F21">
        <v>0</v>
      </c>
      <c r="G21" s="71">
        <f t="shared" si="1"/>
        <v>1</v>
      </c>
      <c r="H21" s="39">
        <f t="shared" si="2"/>
        <v>0.3</v>
      </c>
      <c r="I21">
        <v>0.3</v>
      </c>
      <c r="J21" s="71">
        <f t="shared" si="3"/>
        <v>0.3</v>
      </c>
      <c r="K21" s="71">
        <f t="shared" si="4"/>
        <v>8.1</v>
      </c>
      <c r="L21" s="72">
        <f t="shared" si="5"/>
        <v>0.70141932991702616</v>
      </c>
      <c r="M21" s="73">
        <f t="shared" si="6"/>
        <v>1.224268813898354E-2</v>
      </c>
      <c r="N21" s="73">
        <f t="shared" si="7"/>
        <v>0.99992506671690273</v>
      </c>
      <c r="O21" s="74">
        <f t="shared" si="8"/>
        <v>7.4933283097193088E-3</v>
      </c>
      <c r="P21" s="75">
        <f t="shared" si="9"/>
        <v>1.0000749388985148</v>
      </c>
      <c r="Q21" s="37">
        <f t="shared" si="10"/>
        <v>0.30002248166955442</v>
      </c>
      <c r="R21" s="43">
        <f t="shared" si="11"/>
        <v>8.1000449633391085</v>
      </c>
      <c r="S21" s="76">
        <f t="shared" si="12"/>
        <v>1.2241770754167349E-2</v>
      </c>
      <c r="T21">
        <v>7.8</v>
      </c>
      <c r="U21" s="47">
        <f t="shared" si="13"/>
        <v>57.320035221316147</v>
      </c>
    </row>
    <row r="22" spans="1:21" ht="15" customHeight="1" thickBot="1">
      <c r="A22">
        <v>8</v>
      </c>
      <c r="B22" t="s">
        <v>143</v>
      </c>
      <c r="C22">
        <v>0.3</v>
      </c>
      <c r="D22">
        <v>0.3</v>
      </c>
      <c r="E22" s="37">
        <f t="shared" si="0"/>
        <v>8.3000000000000007</v>
      </c>
      <c r="F22">
        <v>0</v>
      </c>
      <c r="G22" s="71">
        <f t="shared" si="1"/>
        <v>1</v>
      </c>
      <c r="H22" s="39">
        <f t="shared" si="2"/>
        <v>0.3</v>
      </c>
      <c r="I22">
        <v>0.3</v>
      </c>
      <c r="J22" s="71">
        <f t="shared" si="3"/>
        <v>0.3</v>
      </c>
      <c r="K22" s="71">
        <f t="shared" si="4"/>
        <v>8.6</v>
      </c>
      <c r="L22" s="72">
        <f t="shared" si="5"/>
        <v>0.65916900123298872</v>
      </c>
      <c r="M22" s="73">
        <f t="shared" si="6"/>
        <v>1.1505176805309832E-2</v>
      </c>
      <c r="N22" s="73">
        <f t="shared" si="7"/>
        <v>0.99993382202320591</v>
      </c>
      <c r="O22" s="74">
        <f t="shared" si="8"/>
        <v>6.6177976794090654E-3</v>
      </c>
      <c r="P22" s="75">
        <f t="shared" si="9"/>
        <v>1.0000661823566086</v>
      </c>
      <c r="Q22" s="37">
        <f t="shared" si="10"/>
        <v>0.30001985470698256</v>
      </c>
      <c r="R22" s="43">
        <f t="shared" si="11"/>
        <v>8.6000397094139647</v>
      </c>
      <c r="S22" s="76">
        <f t="shared" si="12"/>
        <v>1.1504415415986197E-2</v>
      </c>
      <c r="T22">
        <v>7.8</v>
      </c>
      <c r="U22" s="47">
        <f t="shared" si="13"/>
        <v>60.993298443501359</v>
      </c>
    </row>
    <row r="23" spans="1:21" ht="15" customHeight="1" thickBot="1">
      <c r="A23">
        <v>8.5</v>
      </c>
      <c r="B23" t="s">
        <v>143</v>
      </c>
      <c r="C23">
        <v>0.3</v>
      </c>
      <c r="D23">
        <v>0.3</v>
      </c>
      <c r="E23" s="37">
        <f t="shared" si="0"/>
        <v>8.8000000000000007</v>
      </c>
      <c r="F23">
        <v>0</v>
      </c>
      <c r="G23" s="71">
        <f t="shared" si="1"/>
        <v>1</v>
      </c>
      <c r="H23" s="39">
        <f t="shared" si="2"/>
        <v>0.3</v>
      </c>
      <c r="I23">
        <v>0.3</v>
      </c>
      <c r="J23" s="71">
        <f t="shared" si="3"/>
        <v>0.3</v>
      </c>
      <c r="K23" s="71">
        <f t="shared" si="4"/>
        <v>9.1</v>
      </c>
      <c r="L23" s="72">
        <f t="shared" si="5"/>
        <v>0.6217192454654471</v>
      </c>
      <c r="M23" s="73">
        <f t="shared" si="6"/>
        <v>1.0851473577735408E-2</v>
      </c>
      <c r="N23" s="73">
        <f t="shared" si="7"/>
        <v>0.99994112795987966</v>
      </c>
      <c r="O23" s="74">
        <f t="shared" si="8"/>
        <v>5.8872040120302085E-3</v>
      </c>
      <c r="P23" s="75">
        <f t="shared" si="9"/>
        <v>1.0000588755062414</v>
      </c>
      <c r="Q23" s="37">
        <f t="shared" si="10"/>
        <v>0.30001766265187241</v>
      </c>
      <c r="R23" s="43">
        <f t="shared" si="11"/>
        <v>9.1000353253037449</v>
      </c>
      <c r="S23" s="76">
        <f t="shared" si="12"/>
        <v>1.0850834729347576E-2</v>
      </c>
      <c r="T23">
        <v>7.8</v>
      </c>
      <c r="U23" s="47">
        <f t="shared" si="13"/>
        <v>64.666623666097564</v>
      </c>
    </row>
    <row r="24" spans="1:21" ht="15" customHeight="1" thickBot="1">
      <c r="A24">
        <v>9</v>
      </c>
      <c r="B24" t="s">
        <v>143</v>
      </c>
      <c r="C24">
        <v>0.3</v>
      </c>
      <c r="D24">
        <v>0.3</v>
      </c>
      <c r="E24" s="37">
        <f t="shared" si="0"/>
        <v>9.3000000000000007</v>
      </c>
      <c r="F24">
        <v>0</v>
      </c>
      <c r="G24" s="71">
        <f t="shared" si="1"/>
        <v>1</v>
      </c>
      <c r="H24" s="39">
        <f t="shared" si="2"/>
        <v>0.3</v>
      </c>
      <c r="I24">
        <v>0.3</v>
      </c>
      <c r="J24" s="71">
        <f t="shared" si="3"/>
        <v>0.3</v>
      </c>
      <c r="K24" s="71">
        <f t="shared" si="4"/>
        <v>9.6</v>
      </c>
      <c r="L24" s="72">
        <f t="shared" si="5"/>
        <v>0.58829589555160455</v>
      </c>
      <c r="M24" s="73">
        <f t="shared" si="6"/>
        <v>1.0268061019792645E-2</v>
      </c>
      <c r="N24" s="73">
        <f t="shared" si="7"/>
        <v>0.99994728762963081</v>
      </c>
      <c r="O24" s="74">
        <f t="shared" si="8"/>
        <v>5.2712370369190076E-3</v>
      </c>
      <c r="P24" s="75">
        <f t="shared" si="9"/>
        <v>1.0000527151491097</v>
      </c>
      <c r="Q24" s="37">
        <f t="shared" si="10"/>
        <v>0.30001581454473286</v>
      </c>
      <c r="R24" s="43">
        <f t="shared" si="11"/>
        <v>9.6000316290894663</v>
      </c>
      <c r="S24" s="76">
        <f t="shared" si="12"/>
        <v>1.0267519765957196E-2</v>
      </c>
      <c r="T24">
        <v>7.8</v>
      </c>
      <c r="U24" s="47">
        <f t="shared" si="13"/>
        <v>68.340000735919389</v>
      </c>
    </row>
    <row r="25" spans="1:21" ht="15" customHeight="1" thickBot="1">
      <c r="A25">
        <v>9.5</v>
      </c>
      <c r="B25" t="s">
        <v>143</v>
      </c>
      <c r="C25">
        <v>0.3</v>
      </c>
      <c r="D25">
        <v>0.3</v>
      </c>
      <c r="E25" s="37">
        <f t="shared" si="0"/>
        <v>9.8000000000000007</v>
      </c>
      <c r="F25">
        <v>0</v>
      </c>
      <c r="G25" s="71">
        <f t="shared" si="1"/>
        <v>1</v>
      </c>
      <c r="H25" s="39">
        <f t="shared" si="2"/>
        <v>0.3</v>
      </c>
      <c r="I25">
        <v>0.3</v>
      </c>
      <c r="J25" s="71">
        <f t="shared" si="3"/>
        <v>0.3</v>
      </c>
      <c r="K25" s="71">
        <f t="shared" si="4"/>
        <v>10.1</v>
      </c>
      <c r="L25" s="72">
        <f t="shared" si="5"/>
        <v>0.55828274968399516</v>
      </c>
      <c r="M25" s="73">
        <f t="shared" si="6"/>
        <v>9.7441803555175111E-3</v>
      </c>
      <c r="N25" s="73">
        <f t="shared" si="7"/>
        <v>0.9999525288550779</v>
      </c>
      <c r="O25" s="74">
        <f t="shared" si="8"/>
        <v>4.7471144922021464E-3</v>
      </c>
      <c r="P25" s="75">
        <f t="shared" si="9"/>
        <v>1.0000474733985387</v>
      </c>
      <c r="Q25" s="37">
        <f t="shared" si="10"/>
        <v>0.30001424201956162</v>
      </c>
      <c r="R25" s="43">
        <f t="shared" si="11"/>
        <v>10.100028484039123</v>
      </c>
      <c r="S25" s="76">
        <f t="shared" si="12"/>
        <v>9.7437177881197073E-3</v>
      </c>
      <c r="T25">
        <v>7.8</v>
      </c>
      <c r="U25" s="47">
        <f t="shared" si="13"/>
        <v>72.013421601526375</v>
      </c>
    </row>
    <row r="26" spans="1:21" ht="15" customHeight="1" thickBot="1">
      <c r="A26">
        <v>10</v>
      </c>
      <c r="B26" t="s">
        <v>143</v>
      </c>
      <c r="C26">
        <v>0.3</v>
      </c>
      <c r="D26">
        <v>0.3</v>
      </c>
      <c r="E26" s="37">
        <f t="shared" si="0"/>
        <v>10.3</v>
      </c>
      <c r="F26">
        <v>0</v>
      </c>
      <c r="G26" s="71">
        <f t="shared" si="1"/>
        <v>1</v>
      </c>
      <c r="H26" s="39">
        <f t="shared" si="2"/>
        <v>0.3</v>
      </c>
      <c r="I26">
        <v>0.3</v>
      </c>
      <c r="J26" s="71">
        <f t="shared" si="3"/>
        <v>0.3</v>
      </c>
      <c r="K26" s="71">
        <f t="shared" si="4"/>
        <v>10.6</v>
      </c>
      <c r="L26" s="72">
        <f t="shared" si="5"/>
        <v>0.53118323779817689</v>
      </c>
      <c r="M26" s="73">
        <f t="shared" si="6"/>
        <v>9.2711618916574371E-3</v>
      </c>
      <c r="N26" s="73">
        <f t="shared" si="7"/>
        <v>0.99995702554895327</v>
      </c>
      <c r="O26" s="74">
        <f t="shared" si="8"/>
        <v>4.2974451046802944E-3</v>
      </c>
      <c r="P26" s="75">
        <f t="shared" si="9"/>
        <v>1.0000429762979297</v>
      </c>
      <c r="Q26" s="37">
        <f t="shared" si="10"/>
        <v>0.30001289288937888</v>
      </c>
      <c r="R26" s="43">
        <f t="shared" si="11"/>
        <v>10.600025785778758</v>
      </c>
      <c r="S26" s="76">
        <f t="shared" si="12"/>
        <v>9.2707634685645756E-3</v>
      </c>
      <c r="T26">
        <v>7.8</v>
      </c>
      <c r="U26" s="47">
        <f t="shared" si="13"/>
        <v>75.686879796236596</v>
      </c>
    </row>
    <row r="27" spans="1:21" ht="15" customHeight="1" thickBot="1">
      <c r="A27">
        <v>10.5</v>
      </c>
      <c r="B27" t="s">
        <v>143</v>
      </c>
      <c r="C27">
        <v>0.3</v>
      </c>
      <c r="D27">
        <v>0.3</v>
      </c>
      <c r="E27" s="37">
        <f t="shared" si="0"/>
        <v>10.8</v>
      </c>
      <c r="F27">
        <v>0</v>
      </c>
      <c r="G27" s="71">
        <f t="shared" si="1"/>
        <v>1</v>
      </c>
      <c r="H27" s="39">
        <f t="shared" si="2"/>
        <v>0.3</v>
      </c>
      <c r="I27">
        <v>0.3</v>
      </c>
      <c r="J27" s="71">
        <f t="shared" si="3"/>
        <v>0.3</v>
      </c>
      <c r="K27" s="71">
        <f t="shared" si="4"/>
        <v>11.1</v>
      </c>
      <c r="L27" s="72">
        <f t="shared" si="5"/>
        <v>0.50659273397589655</v>
      </c>
      <c r="M27" s="73">
        <f t="shared" si="6"/>
        <v>8.841941433710334E-3</v>
      </c>
      <c r="N27" s="73">
        <f t="shared" si="7"/>
        <v>0.9999609123277301</v>
      </c>
      <c r="O27" s="74">
        <f t="shared" si="8"/>
        <v>3.9087672269825608E-3</v>
      </c>
      <c r="P27" s="75">
        <f t="shared" si="9"/>
        <v>1.0000390892001758</v>
      </c>
      <c r="Q27" s="37">
        <f t="shared" si="10"/>
        <v>0.30001172676005272</v>
      </c>
      <c r="R27" s="43">
        <f t="shared" si="11"/>
        <v>11.100023453520105</v>
      </c>
      <c r="S27" s="76">
        <f t="shared" si="12"/>
        <v>8.8415958228013399E-3</v>
      </c>
      <c r="T27">
        <v>7.8</v>
      </c>
      <c r="U27" s="47">
        <f t="shared" si="13"/>
        <v>79.360370066564485</v>
      </c>
    </row>
    <row r="28" spans="1:21" ht="15" customHeight="1" thickBot="1">
      <c r="A28">
        <v>11</v>
      </c>
      <c r="B28" t="s">
        <v>143</v>
      </c>
      <c r="C28">
        <v>0.3</v>
      </c>
      <c r="D28">
        <v>0.3</v>
      </c>
      <c r="E28" s="37">
        <f t="shared" si="0"/>
        <v>11.3</v>
      </c>
      <c r="F28">
        <v>0</v>
      </c>
      <c r="G28" s="71">
        <f t="shared" si="1"/>
        <v>1</v>
      </c>
      <c r="H28" s="39">
        <f t="shared" si="2"/>
        <v>0.3</v>
      </c>
      <c r="I28">
        <v>0.3</v>
      </c>
      <c r="J28" s="71">
        <f t="shared" si="3"/>
        <v>0.3</v>
      </c>
      <c r="K28" s="71">
        <f t="shared" si="4"/>
        <v>11.6</v>
      </c>
      <c r="L28" s="72">
        <f t="shared" si="5"/>
        <v>0.48417821811033041</v>
      </c>
      <c r="M28" s="73">
        <f t="shared" si="6"/>
        <v>8.4507050870859819E-3</v>
      </c>
      <c r="N28" s="73">
        <f t="shared" si="7"/>
        <v>0.99996429470415882</v>
      </c>
      <c r="O28" s="74">
        <f t="shared" si="8"/>
        <v>3.5705295841255888E-3</v>
      </c>
      <c r="P28" s="75">
        <f t="shared" si="9"/>
        <v>1.0000357065707548</v>
      </c>
      <c r="Q28" s="37">
        <f t="shared" si="10"/>
        <v>0.30001071197122642</v>
      </c>
      <c r="R28" s="43">
        <f t="shared" si="11"/>
        <v>11.600021423942453</v>
      </c>
      <c r="S28" s="76">
        <f t="shared" si="12"/>
        <v>8.4504033521607801E-3</v>
      </c>
      <c r="T28">
        <v>7.8</v>
      </c>
      <c r="U28" s="47">
        <f t="shared" si="13"/>
        <v>83.033888100501457</v>
      </c>
    </row>
    <row r="29" spans="1:21" ht="15" customHeight="1" thickBot="1">
      <c r="A29">
        <v>11.5</v>
      </c>
      <c r="B29" t="s">
        <v>143</v>
      </c>
      <c r="C29">
        <v>0.3</v>
      </c>
      <c r="D29">
        <v>0.3</v>
      </c>
      <c r="E29" s="37">
        <f t="shared" si="0"/>
        <v>11.8</v>
      </c>
      <c r="F29">
        <v>0</v>
      </c>
      <c r="G29" s="71">
        <f t="shared" si="1"/>
        <v>1</v>
      </c>
      <c r="H29" s="39">
        <f t="shared" si="2"/>
        <v>0.3</v>
      </c>
      <c r="I29">
        <v>0.3</v>
      </c>
      <c r="J29" s="71">
        <f t="shared" si="3"/>
        <v>0.3</v>
      </c>
      <c r="K29" s="71">
        <f t="shared" si="4"/>
        <v>12.1</v>
      </c>
      <c r="L29" s="72">
        <f t="shared" si="5"/>
        <v>0.46366310742049444</v>
      </c>
      <c r="M29" s="73">
        <f t="shared" si="6"/>
        <v>8.0926243630569158E-3</v>
      </c>
      <c r="N29" s="73">
        <f t="shared" si="7"/>
        <v>0.99996725632375194</v>
      </c>
      <c r="O29" s="74">
        <f t="shared" si="8"/>
        <v>3.2743676247985283E-3</v>
      </c>
      <c r="P29" s="75">
        <f t="shared" si="9"/>
        <v>1.0000327447484314</v>
      </c>
      <c r="Q29" s="37">
        <f t="shared" si="10"/>
        <v>0.30000982342452942</v>
      </c>
      <c r="R29" s="43">
        <f t="shared" si="11"/>
        <v>12.100019646849059</v>
      </c>
      <c r="S29" s="76">
        <f t="shared" si="12"/>
        <v>8.0923593807847756E-3</v>
      </c>
      <c r="T29">
        <v>7.8</v>
      </c>
      <c r="U29" s="47">
        <f t="shared" si="13"/>
        <v>86.707430325684598</v>
      </c>
    </row>
    <row r="30" spans="1:21" ht="15" customHeight="1" thickBot="1">
      <c r="A30">
        <v>12</v>
      </c>
      <c r="B30" t="s">
        <v>143</v>
      </c>
      <c r="C30">
        <v>0.3</v>
      </c>
      <c r="D30">
        <v>0.3</v>
      </c>
      <c r="E30" s="37">
        <f t="shared" si="0"/>
        <v>12.3</v>
      </c>
      <c r="F30">
        <v>0</v>
      </c>
      <c r="G30" s="71">
        <f t="shared" si="1"/>
        <v>1</v>
      </c>
      <c r="H30" s="39">
        <f t="shared" si="2"/>
        <v>0.3</v>
      </c>
      <c r="I30">
        <v>0.3</v>
      </c>
      <c r="J30" s="71">
        <f t="shared" si="3"/>
        <v>0.3</v>
      </c>
      <c r="K30" s="71">
        <f t="shared" si="4"/>
        <v>12.6</v>
      </c>
      <c r="L30" s="72">
        <f t="shared" si="5"/>
        <v>0.44481578699853996</v>
      </c>
      <c r="M30" s="73">
        <f t="shared" si="6"/>
        <v>7.7636558930139514E-3</v>
      </c>
      <c r="N30" s="73">
        <f t="shared" si="7"/>
        <v>0.99996986418589306</v>
      </c>
      <c r="O30" s="74">
        <f t="shared" si="8"/>
        <v>3.0135814106935221E-3</v>
      </c>
      <c r="P30" s="75">
        <f t="shared" si="9"/>
        <v>1.0000301367223017</v>
      </c>
      <c r="Q30" s="37">
        <f t="shared" si="10"/>
        <v>0.30000904101669051</v>
      </c>
      <c r="R30" s="43">
        <f t="shared" si="11"/>
        <v>12.600018082033381</v>
      </c>
      <c r="S30" s="76">
        <f t="shared" si="12"/>
        <v>7.7634219289231697E-3</v>
      </c>
      <c r="T30">
        <v>7.8</v>
      </c>
      <c r="U30" s="47">
        <f t="shared" si="13"/>
        <v>90.380993757346531</v>
      </c>
    </row>
    <row r="31" spans="1:21" ht="15" customHeight="1" thickBot="1">
      <c r="A31">
        <v>12.5</v>
      </c>
      <c r="B31" t="s">
        <v>143</v>
      </c>
      <c r="C31">
        <v>0.3</v>
      </c>
      <c r="D31">
        <v>0.3</v>
      </c>
      <c r="E31" s="37">
        <f t="shared" si="0"/>
        <v>12.8</v>
      </c>
      <c r="F31">
        <v>0</v>
      </c>
      <c r="G31" s="71">
        <f t="shared" si="1"/>
        <v>1</v>
      </c>
      <c r="H31" s="39">
        <f t="shared" si="2"/>
        <v>0.3</v>
      </c>
      <c r="I31">
        <v>0.3</v>
      </c>
      <c r="J31" s="71">
        <f t="shared" si="3"/>
        <v>0.3</v>
      </c>
      <c r="K31" s="71">
        <f t="shared" si="4"/>
        <v>13.1</v>
      </c>
      <c r="L31" s="72">
        <f t="shared" si="5"/>
        <v>0.42744082811144229</v>
      </c>
      <c r="M31" s="73">
        <f t="shared" si="6"/>
        <v>7.4603880846930938E-3</v>
      </c>
      <c r="N31" s="73">
        <f t="shared" si="7"/>
        <v>0.99997217246641346</v>
      </c>
      <c r="O31" s="74">
        <f t="shared" si="8"/>
        <v>2.78275335865071E-3</v>
      </c>
      <c r="P31" s="75">
        <f t="shared" si="9"/>
        <v>1.0000278283079795</v>
      </c>
      <c r="Q31" s="37">
        <f t="shared" si="10"/>
        <v>0.30000834849239383</v>
      </c>
      <c r="R31" s="43">
        <f t="shared" si="11"/>
        <v>13.100016696984788</v>
      </c>
      <c r="S31" s="76">
        <f t="shared" si="12"/>
        <v>7.4601804804930979E-3</v>
      </c>
      <c r="T31">
        <v>7.8</v>
      </c>
      <c r="U31" s="47">
        <f t="shared" si="13"/>
        <v>94.054575882288148</v>
      </c>
    </row>
    <row r="32" spans="1:21" ht="15" customHeight="1" thickBot="1">
      <c r="A32">
        <v>13</v>
      </c>
      <c r="B32" t="s">
        <v>143</v>
      </c>
      <c r="C32">
        <v>0.3</v>
      </c>
      <c r="D32">
        <v>0.3</v>
      </c>
      <c r="E32" s="37">
        <f t="shared" si="0"/>
        <v>13.3</v>
      </c>
      <c r="F32">
        <v>0</v>
      </c>
      <c r="G32" s="71">
        <f t="shared" si="1"/>
        <v>1</v>
      </c>
      <c r="H32" s="39">
        <f t="shared" si="2"/>
        <v>0.3</v>
      </c>
      <c r="I32">
        <v>0.3</v>
      </c>
      <c r="J32" s="71">
        <f t="shared" si="3"/>
        <v>0.3</v>
      </c>
      <c r="K32" s="71">
        <f t="shared" si="4"/>
        <v>13.6</v>
      </c>
      <c r="L32" s="72">
        <f t="shared" si="5"/>
        <v>0.41137218706638295</v>
      </c>
      <c r="M32" s="73">
        <f t="shared" si="6"/>
        <v>7.1799223672234288E-3</v>
      </c>
      <c r="N32" s="73">
        <f t="shared" si="7"/>
        <v>0.9999742253539331</v>
      </c>
      <c r="O32" s="74">
        <f t="shared" si="8"/>
        <v>2.5774646066900608E-3</v>
      </c>
      <c r="P32" s="75">
        <f t="shared" si="9"/>
        <v>1.0000257753104165</v>
      </c>
      <c r="Q32" s="37">
        <f t="shared" si="10"/>
        <v>0.30000773259312491</v>
      </c>
      <c r="R32" s="43">
        <f t="shared" si="11"/>
        <v>13.600015465186249</v>
      </c>
      <c r="S32" s="76">
        <f t="shared" si="12"/>
        <v>7.1797373072656264E-3</v>
      </c>
      <c r="T32">
        <v>7.8</v>
      </c>
      <c r="U32" s="47">
        <f t="shared" si="13"/>
        <v>97.728174569297835</v>
      </c>
    </row>
    <row r="33" spans="1:21" ht="15" customHeight="1" thickBot="1">
      <c r="A33">
        <v>13.5</v>
      </c>
      <c r="B33" t="s">
        <v>143</v>
      </c>
      <c r="C33">
        <v>0.3</v>
      </c>
      <c r="D33">
        <v>0.3</v>
      </c>
      <c r="E33" s="37">
        <f t="shared" si="0"/>
        <v>13.8</v>
      </c>
      <c r="F33">
        <v>0</v>
      </c>
      <c r="G33" s="71">
        <f t="shared" si="1"/>
        <v>1</v>
      </c>
      <c r="H33" s="39">
        <f t="shared" si="2"/>
        <v>0.3</v>
      </c>
      <c r="I33">
        <v>0.3</v>
      </c>
      <c r="J33" s="71">
        <f t="shared" si="3"/>
        <v>0.3</v>
      </c>
      <c r="K33" s="71">
        <f t="shared" si="4"/>
        <v>14.1</v>
      </c>
      <c r="L33" s="72">
        <f t="shared" si="5"/>
        <v>0.39646788239708286</v>
      </c>
      <c r="M33" s="73">
        <f t="shared" si="6"/>
        <v>6.9197802524689567E-3</v>
      </c>
      <c r="N33" s="73">
        <f t="shared" si="7"/>
        <v>0.99997605918040045</v>
      </c>
      <c r="O33" s="74">
        <f t="shared" si="8"/>
        <v>2.3940819599554963E-3</v>
      </c>
      <c r="P33" s="75">
        <f t="shared" si="9"/>
        <v>1.0000239413927761</v>
      </c>
      <c r="Q33" s="37">
        <f t="shared" si="10"/>
        <v>0.30000718241783281</v>
      </c>
      <c r="R33" s="43">
        <f t="shared" si="11"/>
        <v>14.100014364835666</v>
      </c>
      <c r="S33" s="76">
        <f t="shared" si="12"/>
        <v>6.919614587258263E-3</v>
      </c>
      <c r="T33">
        <v>7.8</v>
      </c>
      <c r="U33" s="47">
        <f t="shared" si="13"/>
        <v>101.40178799924064</v>
      </c>
    </row>
    <row r="34" spans="1:21" ht="15" customHeight="1" thickBot="1">
      <c r="A34">
        <v>14</v>
      </c>
      <c r="B34" t="s">
        <v>143</v>
      </c>
      <c r="C34">
        <v>0.3</v>
      </c>
      <c r="D34">
        <v>0.3</v>
      </c>
      <c r="E34" s="37">
        <f t="shared" si="0"/>
        <v>14.3</v>
      </c>
      <c r="F34">
        <v>0</v>
      </c>
      <c r="G34" s="71">
        <f t="shared" si="1"/>
        <v>1</v>
      </c>
      <c r="H34" s="39">
        <f t="shared" si="2"/>
        <v>0.3</v>
      </c>
      <c r="I34">
        <v>0.3</v>
      </c>
      <c r="J34" s="71">
        <f t="shared" si="3"/>
        <v>0.3</v>
      </c>
      <c r="K34" s="71">
        <f t="shared" si="4"/>
        <v>14.6</v>
      </c>
      <c r="L34" s="72">
        <f t="shared" si="5"/>
        <v>0.38260578859372291</v>
      </c>
      <c r="M34" s="73">
        <f t="shared" si="6"/>
        <v>6.6778298939910215E-3</v>
      </c>
      <c r="N34" s="73">
        <f t="shared" si="7"/>
        <v>0.99997770403964037</v>
      </c>
      <c r="O34" s="74">
        <f t="shared" si="8"/>
        <v>2.2295960359630662E-3</v>
      </c>
      <c r="P34" s="75">
        <f t="shared" si="9"/>
        <v>1.0000222964574805</v>
      </c>
      <c r="Q34" s="37">
        <f t="shared" si="10"/>
        <v>0.30000668893724414</v>
      </c>
      <c r="R34" s="43">
        <f t="shared" si="11"/>
        <v>14.600013377874488</v>
      </c>
      <c r="S34" s="76">
        <f t="shared" si="12"/>
        <v>6.6776810053604174E-3</v>
      </c>
      <c r="T34">
        <v>7.8</v>
      </c>
      <c r="U34" s="47">
        <f t="shared" si="13"/>
        <v>105.0754146099591</v>
      </c>
    </row>
    <row r="35" spans="1:21" ht="15" customHeight="1" thickBot="1">
      <c r="A35">
        <v>14.5</v>
      </c>
      <c r="B35" t="s">
        <v>143</v>
      </c>
      <c r="C35">
        <v>0.3</v>
      </c>
      <c r="D35">
        <v>0.3</v>
      </c>
      <c r="E35" s="37">
        <f t="shared" si="0"/>
        <v>14.8</v>
      </c>
      <c r="F35">
        <v>0</v>
      </c>
      <c r="G35" s="71">
        <f t="shared" si="1"/>
        <v>1</v>
      </c>
      <c r="H35" s="39">
        <f t="shared" si="2"/>
        <v>0.3</v>
      </c>
      <c r="I35">
        <v>0.3</v>
      </c>
      <c r="J35" s="71">
        <f t="shared" si="3"/>
        <v>0.3</v>
      </c>
      <c r="K35" s="71">
        <f t="shared" si="4"/>
        <v>15.1</v>
      </c>
      <c r="L35" s="72">
        <f t="shared" si="5"/>
        <v>0.36968028236248562</v>
      </c>
      <c r="M35" s="73">
        <f t="shared" si="6"/>
        <v>6.4522275327075409E-3</v>
      </c>
      <c r="N35" s="73">
        <f t="shared" si="7"/>
        <v>0.99997918502984562</v>
      </c>
      <c r="O35" s="74">
        <f t="shared" si="8"/>
        <v>2.0814970154344379E-3</v>
      </c>
      <c r="P35" s="75">
        <f t="shared" si="9"/>
        <v>1.0000208154034265</v>
      </c>
      <c r="Q35" s="37">
        <f t="shared" si="10"/>
        <v>0.30000624462102793</v>
      </c>
      <c r="R35" s="43">
        <f t="shared" si="11"/>
        <v>15.100012489242056</v>
      </c>
      <c r="S35" s="76">
        <f t="shared" si="12"/>
        <v>6.4520932297840181E-3</v>
      </c>
      <c r="T35">
        <v>7.8</v>
      </c>
      <c r="U35" s="47">
        <f t="shared" si="13"/>
        <v>108.74905305244775</v>
      </c>
    </row>
    <row r="36" spans="1:21" ht="15" customHeight="1" thickBot="1">
      <c r="A36">
        <v>15</v>
      </c>
      <c r="B36" t="s">
        <v>143</v>
      </c>
      <c r="C36">
        <v>0.3</v>
      </c>
      <c r="D36">
        <v>0.3</v>
      </c>
      <c r="E36" s="37">
        <f t="shared" si="0"/>
        <v>15.3</v>
      </c>
      <c r="F36">
        <v>0</v>
      </c>
      <c r="G36" s="71">
        <f t="shared" si="1"/>
        <v>1</v>
      </c>
      <c r="H36" s="39">
        <f t="shared" si="2"/>
        <v>0.3</v>
      </c>
      <c r="I36">
        <v>0.3</v>
      </c>
      <c r="J36" s="71">
        <f t="shared" si="3"/>
        <v>0.3</v>
      </c>
      <c r="K36" s="71">
        <f t="shared" si="4"/>
        <v>15.6</v>
      </c>
      <c r="L36" s="72">
        <f t="shared" si="5"/>
        <v>0.35759954641464747</v>
      </c>
      <c r="M36" s="73">
        <f t="shared" si="6"/>
        <v>6.2413704237955295E-3</v>
      </c>
      <c r="N36" s="73">
        <f t="shared" si="7"/>
        <v>0.99998052321664888</v>
      </c>
      <c r="O36" s="74">
        <f t="shared" si="8"/>
        <v>1.947678335112446E-3</v>
      </c>
      <c r="P36" s="75">
        <f t="shared" si="9"/>
        <v>1.0000194771627036</v>
      </c>
      <c r="Q36" s="37">
        <f t="shared" si="10"/>
        <v>0.30000584314881107</v>
      </c>
      <c r="R36" s="43">
        <f t="shared" si="11"/>
        <v>15.600011686297622</v>
      </c>
      <c r="S36" s="76">
        <f t="shared" si="12"/>
        <v>6.241248861975972E-3</v>
      </c>
      <c r="T36">
        <v>7.8</v>
      </c>
      <c r="U36" s="47">
        <f t="shared" si="13"/>
        <v>112.42270215570048</v>
      </c>
    </row>
    <row r="37" spans="1:21" ht="15" customHeight="1" thickBot="1">
      <c r="A37">
        <v>15.5</v>
      </c>
      <c r="B37" t="s">
        <v>143</v>
      </c>
      <c r="C37">
        <v>0.3</v>
      </c>
      <c r="D37">
        <v>0.3</v>
      </c>
      <c r="E37" s="37">
        <f t="shared" si="0"/>
        <v>15.8</v>
      </c>
      <c r="F37">
        <v>0</v>
      </c>
      <c r="G37" s="71">
        <f t="shared" si="1"/>
        <v>1</v>
      </c>
      <c r="H37" s="39">
        <f t="shared" si="2"/>
        <v>0.3</v>
      </c>
      <c r="I37">
        <v>0.3</v>
      </c>
      <c r="J37" s="71">
        <f t="shared" si="3"/>
        <v>0.3</v>
      </c>
      <c r="K37" s="71">
        <f t="shared" si="4"/>
        <v>16.100000000000001</v>
      </c>
      <c r="L37" s="72">
        <f t="shared" si="5"/>
        <v>0.34628338514600004</v>
      </c>
      <c r="M37" s="73">
        <f t="shared" si="6"/>
        <v>6.0438587015235199E-3</v>
      </c>
      <c r="N37" s="73">
        <f t="shared" si="7"/>
        <v>0.99998173638634957</v>
      </c>
      <c r="O37" s="74">
        <f t="shared" si="8"/>
        <v>1.826361365050063E-3</v>
      </c>
      <c r="P37" s="75">
        <f t="shared" si="9"/>
        <v>1.0000182639472162</v>
      </c>
      <c r="Q37" s="37">
        <f t="shared" si="10"/>
        <v>0.30000547918416481</v>
      </c>
      <c r="R37" s="43">
        <f t="shared" si="11"/>
        <v>16.10001095836833</v>
      </c>
      <c r="S37" s="76">
        <f t="shared" si="12"/>
        <v>6.0437483188232376E-3</v>
      </c>
      <c r="T37">
        <v>7.8</v>
      </c>
      <c r="U37" s="47">
        <f t="shared" si="13"/>
        <v>116.09636089829185</v>
      </c>
    </row>
    <row r="38" spans="1:21" ht="15" customHeight="1" thickBot="1">
      <c r="A38">
        <v>16</v>
      </c>
      <c r="B38" t="s">
        <v>143</v>
      </c>
      <c r="C38">
        <v>0.3</v>
      </c>
      <c r="D38">
        <v>0.3</v>
      </c>
      <c r="E38" s="37">
        <f t="shared" si="0"/>
        <v>16.3</v>
      </c>
      <c r="F38">
        <v>0</v>
      </c>
      <c r="G38" s="71">
        <f t="shared" si="1"/>
        <v>1</v>
      </c>
      <c r="H38" s="39">
        <f t="shared" si="2"/>
        <v>0.3</v>
      </c>
      <c r="I38">
        <v>0.3</v>
      </c>
      <c r="J38" s="71">
        <f t="shared" si="3"/>
        <v>0.3</v>
      </c>
      <c r="K38" s="71">
        <f t="shared" si="4"/>
        <v>16.600000000000001</v>
      </c>
      <c r="L38" s="72">
        <f t="shared" si="5"/>
        <v>0.33566144230284362</v>
      </c>
      <c r="M38" s="73">
        <f t="shared" si="6"/>
        <v>5.8584642628264783E-3</v>
      </c>
      <c r="N38" s="73">
        <f t="shared" si="7"/>
        <v>0.99998283963996759</v>
      </c>
      <c r="O38" s="74">
        <f t="shared" si="8"/>
        <v>1.7160360032408839E-3</v>
      </c>
      <c r="P38" s="75">
        <f t="shared" si="9"/>
        <v>1.0000171606545154</v>
      </c>
      <c r="Q38" s="37">
        <f t="shared" si="10"/>
        <v>0.3000051481963546</v>
      </c>
      <c r="R38" s="43">
        <f t="shared" si="11"/>
        <v>16.600010296392711</v>
      </c>
      <c r="S38" s="76">
        <f t="shared" si="12"/>
        <v>5.8583637294704919E-3</v>
      </c>
      <c r="T38">
        <v>7.8</v>
      </c>
      <c r="U38" s="47">
        <f t="shared" si="13"/>
        <v>119.77002838523426</v>
      </c>
    </row>
    <row r="39" spans="1:21" ht="15" customHeight="1" thickBot="1">
      <c r="A39">
        <v>16.5</v>
      </c>
      <c r="B39" t="s">
        <v>143</v>
      </c>
      <c r="C39">
        <v>0.3</v>
      </c>
      <c r="D39">
        <v>0.3</v>
      </c>
      <c r="E39" s="37">
        <f t="shared" si="0"/>
        <v>16.8</v>
      </c>
      <c r="F39">
        <v>0</v>
      </c>
      <c r="G39" s="71">
        <f t="shared" si="1"/>
        <v>1</v>
      </c>
      <c r="H39" s="39">
        <f t="shared" si="2"/>
        <v>0.3</v>
      </c>
      <c r="I39">
        <v>0.3</v>
      </c>
      <c r="J39" s="71">
        <f t="shared" si="3"/>
        <v>0.3</v>
      </c>
      <c r="K39" s="71">
        <f t="shared" si="4"/>
        <v>17.100000000000001</v>
      </c>
      <c r="L39" s="72">
        <f t="shared" si="5"/>
        <v>0.32567173689545026</v>
      </c>
      <c r="M39" s="73">
        <f t="shared" si="6"/>
        <v>5.684105207385215E-3</v>
      </c>
      <c r="N39" s="73">
        <f t="shared" si="7"/>
        <v>0.9999838458654382</v>
      </c>
      <c r="O39" s="74">
        <f t="shared" si="8"/>
        <v>1.6154134561870612E-3</v>
      </c>
      <c r="P39" s="75">
        <f t="shared" si="9"/>
        <v>1.0000161543955222</v>
      </c>
      <c r="Q39" s="37">
        <f t="shared" si="10"/>
        <v>0.30000484631865665</v>
      </c>
      <c r="R39" s="43">
        <f t="shared" si="11"/>
        <v>17.100009692637315</v>
      </c>
      <c r="S39" s="76">
        <f t="shared" si="12"/>
        <v>5.6840133855848322E-3</v>
      </c>
      <c r="T39">
        <v>7.8</v>
      </c>
      <c r="U39" s="47">
        <f t="shared" si="13"/>
        <v>123.44370382900253</v>
      </c>
    </row>
    <row r="40" spans="1:21" ht="15" customHeight="1" thickBot="1">
      <c r="A40">
        <v>17</v>
      </c>
      <c r="B40" t="s">
        <v>143</v>
      </c>
      <c r="C40">
        <v>0.3</v>
      </c>
      <c r="D40">
        <v>0.3</v>
      </c>
      <c r="E40" s="37">
        <f t="shared" ref="E40:E71" si="14">A40+J40</f>
        <v>17.3</v>
      </c>
      <c r="F40">
        <v>0</v>
      </c>
      <c r="G40" s="71">
        <f t="shared" ref="G40:G71" si="15">100/(100-F40)</f>
        <v>1</v>
      </c>
      <c r="H40" s="39">
        <f t="shared" ref="H40:H71" si="16">3.1415926*E40*M40</f>
        <v>0.3</v>
      </c>
      <c r="I40">
        <v>0.3</v>
      </c>
      <c r="J40" s="71">
        <f t="shared" ref="J40:J71" si="17">G40*C40</f>
        <v>0.3</v>
      </c>
      <c r="K40" s="71">
        <f t="shared" ref="K40:K71" si="18">A40+2*J40</f>
        <v>17.600000000000001</v>
      </c>
      <c r="L40" s="72">
        <f t="shared" ref="L40:L71" si="19">ATAN(I40/(3.1415926*(A40+J40)))*180/3.1415926</f>
        <v>0.31625945297952202</v>
      </c>
      <c r="M40" s="73">
        <f t="shared" ref="M40:M71" si="20">I40/(3.1415926*(A40+J40))</f>
        <v>5.5198247100619428E-3</v>
      </c>
      <c r="N40" s="73">
        <f t="shared" ref="N40:N71" si="21">COS(L40*3.1415926/180)</f>
        <v>0.99998476611569898</v>
      </c>
      <c r="O40" s="74">
        <f t="shared" ref="O40:O71" si="22">(D40-I40*N40)/D40*100</f>
        <v>1.5233884301061689E-3</v>
      </c>
      <c r="P40" s="75">
        <f t="shared" ref="P40:P71" si="23">100/(100-O40)</f>
        <v>1.0000152341163757</v>
      </c>
      <c r="Q40" s="37">
        <f t="shared" ref="Q40:Q71" si="24">P40*C40</f>
        <v>0.30000457023491273</v>
      </c>
      <c r="R40" s="43">
        <f t="shared" ref="R40:R71" si="25">A40+2*Q40</f>
        <v>17.600009140469826</v>
      </c>
      <c r="S40" s="76">
        <f t="shared" ref="S40:S71" si="26">SIN(L40*3.1415926/180)</f>
        <v>5.5197406216909483E-3</v>
      </c>
      <c r="T40">
        <v>7.8</v>
      </c>
      <c r="U40" s="47">
        <f t="shared" ref="U40:U71" si="27">3.14*(A40+Q40)*Q40*T40*P40</f>
        <v>127.11738653387593</v>
      </c>
    </row>
    <row r="41" spans="1:21" ht="15" customHeight="1" thickBot="1">
      <c r="A41">
        <v>17.5</v>
      </c>
      <c r="B41" t="s">
        <v>143</v>
      </c>
      <c r="C41">
        <v>0.3</v>
      </c>
      <c r="D41">
        <v>0.3</v>
      </c>
      <c r="E41" s="37">
        <f t="shared" si="14"/>
        <v>17.8</v>
      </c>
      <c r="F41">
        <v>0</v>
      </c>
      <c r="G41" s="71">
        <f t="shared" si="15"/>
        <v>1</v>
      </c>
      <c r="H41" s="39">
        <f t="shared" si="16"/>
        <v>0.3</v>
      </c>
      <c r="I41">
        <v>0.3</v>
      </c>
      <c r="J41" s="71">
        <f t="shared" si="17"/>
        <v>0.3</v>
      </c>
      <c r="K41" s="71">
        <f t="shared" si="18"/>
        <v>18.100000000000001</v>
      </c>
      <c r="L41" s="72">
        <f t="shared" si="19"/>
        <v>0.3073759333920526</v>
      </c>
      <c r="M41" s="73">
        <f t="shared" si="20"/>
        <v>5.3647734541613255E-3</v>
      </c>
      <c r="N41" s="73">
        <f t="shared" si="21"/>
        <v>0.9999856099135106</v>
      </c>
      <c r="O41" s="74">
        <f t="shared" si="22"/>
        <v>1.4390086489438996E-3</v>
      </c>
      <c r="P41" s="75">
        <f t="shared" si="23"/>
        <v>1.000014390293567</v>
      </c>
      <c r="Q41" s="37">
        <f t="shared" si="24"/>
        <v>0.30000431708807007</v>
      </c>
      <c r="R41" s="43">
        <f t="shared" si="25"/>
        <v>18.100008634176142</v>
      </c>
      <c r="S41" s="76">
        <f t="shared" si="26"/>
        <v>5.3646962546073235E-3</v>
      </c>
      <c r="T41">
        <v>7.8</v>
      </c>
      <c r="U41" s="47">
        <f t="shared" si="27"/>
        <v>130.79107588294079</v>
      </c>
    </row>
    <row r="42" spans="1:21" ht="15" customHeight="1" thickBot="1">
      <c r="A42">
        <v>18</v>
      </c>
      <c r="B42" t="s">
        <v>143</v>
      </c>
      <c r="C42">
        <v>0.3</v>
      </c>
      <c r="D42">
        <v>0.3</v>
      </c>
      <c r="E42" s="37">
        <f t="shared" si="14"/>
        <v>18.3</v>
      </c>
      <c r="F42">
        <v>0</v>
      </c>
      <c r="G42" s="71">
        <f t="shared" si="15"/>
        <v>1</v>
      </c>
      <c r="H42" s="39">
        <f t="shared" si="16"/>
        <v>0.3</v>
      </c>
      <c r="I42">
        <v>0.3</v>
      </c>
      <c r="J42" s="71">
        <f t="shared" si="17"/>
        <v>0.3</v>
      </c>
      <c r="K42" s="71">
        <f t="shared" si="18"/>
        <v>18.600000000000001</v>
      </c>
      <c r="L42" s="72">
        <f t="shared" si="19"/>
        <v>0.29897783843706544</v>
      </c>
      <c r="M42" s="73">
        <f t="shared" si="20"/>
        <v>5.218194944484787E-3</v>
      </c>
      <c r="N42" s="73">
        <f t="shared" si="21"/>
        <v>0.9999863854987977</v>
      </c>
      <c r="O42" s="74">
        <f t="shared" si="22"/>
        <v>1.3614501202334022E-3</v>
      </c>
      <c r="P42" s="75">
        <f t="shared" si="23"/>
        <v>1.0000136146865595</v>
      </c>
      <c r="Q42" s="37">
        <f t="shared" si="24"/>
        <v>0.30000408440596782</v>
      </c>
      <c r="R42" s="43">
        <f t="shared" si="25"/>
        <v>18.600008168811936</v>
      </c>
      <c r="S42" s="76">
        <f t="shared" si="26"/>
        <v>5.2181239013634429E-3</v>
      </c>
      <c r="T42">
        <v>7.8</v>
      </c>
      <c r="U42" s="47">
        <f t="shared" si="27"/>
        <v>134.46477132723939</v>
      </c>
    </row>
    <row r="43" spans="1:21" ht="15" customHeight="1" thickBot="1">
      <c r="A43">
        <v>18.5</v>
      </c>
      <c r="B43" t="s">
        <v>143</v>
      </c>
      <c r="C43">
        <v>0.3</v>
      </c>
      <c r="D43">
        <v>0.3</v>
      </c>
      <c r="E43" s="37">
        <f t="shared" si="14"/>
        <v>18.8</v>
      </c>
      <c r="F43">
        <v>0</v>
      </c>
      <c r="G43" s="71">
        <f t="shared" si="15"/>
        <v>1</v>
      </c>
      <c r="H43" s="39">
        <f t="shared" si="16"/>
        <v>0.3</v>
      </c>
      <c r="I43">
        <v>0.3</v>
      </c>
      <c r="J43" s="71">
        <f t="shared" si="17"/>
        <v>0.3</v>
      </c>
      <c r="K43" s="71">
        <f t="shared" si="18"/>
        <v>19.100000000000001</v>
      </c>
      <c r="L43" s="72">
        <f t="shared" si="19"/>
        <v>0.29102643881481405</v>
      </c>
      <c r="M43" s="73">
        <f t="shared" si="20"/>
        <v>5.0794131640463621E-3</v>
      </c>
      <c r="N43" s="73">
        <f t="shared" si="21"/>
        <v>0.99998710003057256</v>
      </c>
      <c r="O43" s="74">
        <f t="shared" si="22"/>
        <v>1.2899969427474882E-3</v>
      </c>
      <c r="P43" s="75">
        <f t="shared" si="23"/>
        <v>1.0000129001358389</v>
      </c>
      <c r="Q43" s="37">
        <f t="shared" si="24"/>
        <v>0.30000387004075163</v>
      </c>
      <c r="R43" s="43">
        <f t="shared" si="25"/>
        <v>19.100007740081502</v>
      </c>
      <c r="S43" s="76">
        <f t="shared" si="26"/>
        <v>5.0793476397718368E-3</v>
      </c>
      <c r="T43">
        <v>7.8</v>
      </c>
      <c r="U43" s="47">
        <f t="shared" si="27"/>
        <v>138.13847237666471</v>
      </c>
    </row>
    <row r="44" spans="1:21" ht="15" customHeight="1" thickBot="1">
      <c r="A44">
        <v>19</v>
      </c>
      <c r="B44" t="s">
        <v>143</v>
      </c>
      <c r="C44">
        <v>0.3</v>
      </c>
      <c r="D44">
        <v>0.3</v>
      </c>
      <c r="E44" s="37">
        <f t="shared" si="14"/>
        <v>19.3</v>
      </c>
      <c r="F44">
        <v>0</v>
      </c>
      <c r="G44" s="71">
        <f t="shared" si="15"/>
        <v>1</v>
      </c>
      <c r="H44" s="39">
        <f t="shared" si="16"/>
        <v>0.3</v>
      </c>
      <c r="I44">
        <v>0.3</v>
      </c>
      <c r="J44" s="71">
        <f t="shared" si="17"/>
        <v>0.3</v>
      </c>
      <c r="K44" s="71">
        <f t="shared" si="18"/>
        <v>19.600000000000001</v>
      </c>
      <c r="L44" s="72">
        <f t="shared" si="19"/>
        <v>0.28348701845153385</v>
      </c>
      <c r="M44" s="73">
        <f t="shared" si="20"/>
        <v>4.9478221494337615E-3</v>
      </c>
      <c r="N44" s="73">
        <f t="shared" si="21"/>
        <v>0.99998775975272791</v>
      </c>
      <c r="O44" s="74">
        <f t="shared" si="22"/>
        <v>1.2240247272051383E-3</v>
      </c>
      <c r="P44" s="75">
        <f t="shared" si="23"/>
        <v>1.0000122403970975</v>
      </c>
      <c r="Q44" s="37">
        <f t="shared" si="24"/>
        <v>0.30000367211912921</v>
      </c>
      <c r="R44" s="43">
        <f t="shared" si="25"/>
        <v>19.600007344238257</v>
      </c>
      <c r="S44" s="76">
        <f t="shared" si="26"/>
        <v>4.9477615868671956E-3</v>
      </c>
      <c r="T44">
        <v>7.8</v>
      </c>
      <c r="U44" s="47">
        <f t="shared" si="27"/>
        <v>141.81217859227996</v>
      </c>
    </row>
    <row r="45" spans="1:21" ht="15" customHeight="1" thickBot="1">
      <c r="A45">
        <v>19.5</v>
      </c>
      <c r="B45" t="s">
        <v>143</v>
      </c>
      <c r="C45">
        <v>0.3</v>
      </c>
      <c r="D45">
        <v>0.3</v>
      </c>
      <c r="E45" s="37">
        <f t="shared" si="14"/>
        <v>19.8</v>
      </c>
      <c r="F45">
        <v>0</v>
      </c>
      <c r="G45" s="71">
        <f t="shared" si="15"/>
        <v>1</v>
      </c>
      <c r="H45" s="39">
        <f t="shared" si="16"/>
        <v>0.3</v>
      </c>
      <c r="I45">
        <v>0.3</v>
      </c>
      <c r="J45" s="71">
        <f t="shared" si="17"/>
        <v>0.3</v>
      </c>
      <c r="K45" s="71">
        <f t="shared" si="18"/>
        <v>20.100000000000001</v>
      </c>
      <c r="L45" s="72">
        <f t="shared" si="19"/>
        <v>0.27632836780420361</v>
      </c>
      <c r="M45" s="73">
        <f t="shared" si="20"/>
        <v>4.8228771456601824E-3</v>
      </c>
      <c r="N45" s="73">
        <f t="shared" si="21"/>
        <v>0.99998837013090291</v>
      </c>
      <c r="O45" s="74">
        <f t="shared" si="22"/>
        <v>1.1629869097011063E-3</v>
      </c>
      <c r="P45" s="75">
        <f t="shared" si="23"/>
        <v>1.0000116300043524</v>
      </c>
      <c r="Q45" s="37">
        <f t="shared" si="24"/>
        <v>0.30000348900130575</v>
      </c>
      <c r="R45" s="43">
        <f t="shared" si="25"/>
        <v>20.100006978002611</v>
      </c>
      <c r="S45" s="76">
        <f t="shared" si="26"/>
        <v>4.8228210562303066E-3</v>
      </c>
      <c r="T45">
        <v>7.8</v>
      </c>
      <c r="U45" s="47">
        <f t="shared" si="27"/>
        <v>145.48588957981102</v>
      </c>
    </row>
    <row r="46" spans="1:21" ht="15" customHeight="1" thickBot="1">
      <c r="A46">
        <v>20</v>
      </c>
      <c r="B46" t="s">
        <v>143</v>
      </c>
      <c r="C46">
        <v>0.3</v>
      </c>
      <c r="D46">
        <v>0.3</v>
      </c>
      <c r="E46" s="37">
        <f t="shared" si="14"/>
        <v>20.3</v>
      </c>
      <c r="F46">
        <v>0</v>
      </c>
      <c r="G46" s="71">
        <f t="shared" si="15"/>
        <v>1</v>
      </c>
      <c r="H46" s="39">
        <f t="shared" si="16"/>
        <v>0.3</v>
      </c>
      <c r="I46">
        <v>0.3</v>
      </c>
      <c r="J46" s="71">
        <f t="shared" si="17"/>
        <v>0.3</v>
      </c>
      <c r="K46" s="71">
        <f t="shared" si="18"/>
        <v>20.6</v>
      </c>
      <c r="L46" s="72">
        <f t="shared" si="19"/>
        <v>0.26952235204219105</v>
      </c>
      <c r="M46" s="73">
        <f t="shared" si="20"/>
        <v>4.7040870681808672E-3</v>
      </c>
      <c r="N46" s="73">
        <f t="shared" si="21"/>
        <v>0.99998893596604943</v>
      </c>
      <c r="O46" s="74">
        <f t="shared" si="22"/>
        <v>1.1064033950495638E-3</v>
      </c>
      <c r="P46" s="75">
        <f t="shared" si="23"/>
        <v>1.0000110641563649</v>
      </c>
      <c r="Q46" s="37">
        <f t="shared" si="24"/>
        <v>0.30000331924690943</v>
      </c>
      <c r="R46" s="43">
        <f t="shared" si="25"/>
        <v>20.60000663849382</v>
      </c>
      <c r="S46" s="76">
        <f t="shared" si="26"/>
        <v>4.7040350220018384E-3</v>
      </c>
      <c r="T46">
        <v>7.8</v>
      </c>
      <c r="U46" s="47">
        <f t="shared" si="27"/>
        <v>149.15960498410675</v>
      </c>
    </row>
    <row r="47" spans="1:21" ht="15" customHeight="1" thickBot="1">
      <c r="A47">
        <v>20.5</v>
      </c>
      <c r="B47" t="s">
        <v>143</v>
      </c>
      <c r="C47">
        <v>0.3</v>
      </c>
      <c r="D47">
        <v>0.3</v>
      </c>
      <c r="E47" s="37">
        <f t="shared" si="14"/>
        <v>20.8</v>
      </c>
      <c r="F47">
        <v>0</v>
      </c>
      <c r="G47" s="71">
        <f t="shared" si="15"/>
        <v>1</v>
      </c>
      <c r="H47" s="39">
        <f t="shared" si="16"/>
        <v>0.3</v>
      </c>
      <c r="I47">
        <v>0.3</v>
      </c>
      <c r="J47" s="71">
        <f t="shared" si="17"/>
        <v>0.3</v>
      </c>
      <c r="K47" s="71">
        <f t="shared" si="18"/>
        <v>21.1</v>
      </c>
      <c r="L47" s="72">
        <f t="shared" si="19"/>
        <v>0.26304354150708126</v>
      </c>
      <c r="M47" s="73">
        <f t="shared" si="20"/>
        <v>4.5910080521188272E-3</v>
      </c>
      <c r="N47" s="73">
        <f t="shared" si="21"/>
        <v>0.99998946148912538</v>
      </c>
      <c r="O47" s="74">
        <f t="shared" si="22"/>
        <v>1.0538510874698779E-3</v>
      </c>
      <c r="P47" s="75">
        <f t="shared" si="23"/>
        <v>1.0000105386219362</v>
      </c>
      <c r="Q47" s="37">
        <f t="shared" si="24"/>
        <v>0.30000316158658086</v>
      </c>
      <c r="R47" s="43">
        <f t="shared" si="25"/>
        <v>21.100006323173162</v>
      </c>
      <c r="S47" s="76">
        <f t="shared" si="26"/>
        <v>4.5909596697305448E-3</v>
      </c>
      <c r="T47">
        <v>7.8</v>
      </c>
      <c r="U47" s="47">
        <f t="shared" si="27"/>
        <v>152.8333244844041</v>
      </c>
    </row>
    <row r="48" spans="1:21" ht="15" customHeight="1" thickBot="1">
      <c r="A48">
        <v>21</v>
      </c>
      <c r="B48" t="s">
        <v>143</v>
      </c>
      <c r="C48">
        <v>0.3</v>
      </c>
      <c r="D48">
        <v>0.3</v>
      </c>
      <c r="E48" s="37">
        <f t="shared" si="14"/>
        <v>21.3</v>
      </c>
      <c r="F48">
        <v>0</v>
      </c>
      <c r="G48" s="71">
        <f t="shared" si="15"/>
        <v>1</v>
      </c>
      <c r="H48" s="39">
        <f t="shared" si="16"/>
        <v>0.3</v>
      </c>
      <c r="I48">
        <v>0.3</v>
      </c>
      <c r="J48" s="71">
        <f t="shared" si="17"/>
        <v>0.3</v>
      </c>
      <c r="K48" s="71">
        <f t="shared" si="18"/>
        <v>21.6</v>
      </c>
      <c r="L48" s="72">
        <f t="shared" si="19"/>
        <v>0.25686889421778419</v>
      </c>
      <c r="M48" s="73">
        <f t="shared" si="20"/>
        <v>4.4832379100503104E-3</v>
      </c>
      <c r="N48" s="73">
        <f t="shared" si="21"/>
        <v>0.9999899504404135</v>
      </c>
      <c r="O48" s="74">
        <f t="shared" si="22"/>
        <v>1.0049559586537231E-3</v>
      </c>
      <c r="P48" s="75">
        <f t="shared" si="23"/>
        <v>1.000010049660581</v>
      </c>
      <c r="Q48" s="37">
        <f t="shared" si="24"/>
        <v>0.30000301489817432</v>
      </c>
      <c r="R48" s="43">
        <f t="shared" si="25"/>
        <v>21.600006029796347</v>
      </c>
      <c r="S48" s="76">
        <f t="shared" si="26"/>
        <v>4.4831928554837927E-3</v>
      </c>
      <c r="T48">
        <v>7.8</v>
      </c>
      <c r="U48" s="47">
        <f t="shared" si="27"/>
        <v>156.50704779026449</v>
      </c>
    </row>
    <row r="49" spans="1:21" ht="15" customHeight="1" thickBot="1">
      <c r="A49">
        <v>21.5</v>
      </c>
      <c r="B49" t="s">
        <v>143</v>
      </c>
      <c r="C49">
        <v>0.3</v>
      </c>
      <c r="D49">
        <v>0.3</v>
      </c>
      <c r="E49" s="37">
        <f t="shared" si="14"/>
        <v>21.8</v>
      </c>
      <c r="F49">
        <v>0</v>
      </c>
      <c r="G49" s="71">
        <f t="shared" si="15"/>
        <v>1</v>
      </c>
      <c r="H49" s="39">
        <f t="shared" si="16"/>
        <v>0.3</v>
      </c>
      <c r="I49">
        <v>0.3</v>
      </c>
      <c r="J49" s="71">
        <f t="shared" si="17"/>
        <v>0.3</v>
      </c>
      <c r="K49" s="71">
        <f t="shared" si="18"/>
        <v>22.1</v>
      </c>
      <c r="L49" s="72">
        <f t="shared" si="19"/>
        <v>0.2509774820654942</v>
      </c>
      <c r="M49" s="73">
        <f t="shared" si="20"/>
        <v>4.3804113524803486E-3</v>
      </c>
      <c r="N49" s="73">
        <f t="shared" si="21"/>
        <v>0.99999040613625667</v>
      </c>
      <c r="O49" s="74">
        <f t="shared" si="22"/>
        <v>9.5938637432550311E-4</v>
      </c>
      <c r="P49" s="75">
        <f t="shared" si="23"/>
        <v>1.0000095939557863</v>
      </c>
      <c r="Q49" s="37">
        <f t="shared" si="24"/>
        <v>0.30000287818673588</v>
      </c>
      <c r="R49" s="43">
        <f t="shared" si="25"/>
        <v>22.10000575637347</v>
      </c>
      <c r="S49" s="76">
        <f t="shared" si="26"/>
        <v>4.3803693274106917E-3</v>
      </c>
      <c r="T49">
        <v>7.8</v>
      </c>
      <c r="U49" s="47">
        <f t="shared" si="27"/>
        <v>160.18077463807379</v>
      </c>
    </row>
    <row r="50" spans="1:21" ht="15" customHeight="1" thickBot="1">
      <c r="A50">
        <v>22</v>
      </c>
      <c r="B50" t="s">
        <v>143</v>
      </c>
      <c r="C50">
        <v>0.3</v>
      </c>
      <c r="D50">
        <v>0.3</v>
      </c>
      <c r="E50" s="37">
        <f t="shared" si="14"/>
        <v>22.3</v>
      </c>
      <c r="F50">
        <v>0</v>
      </c>
      <c r="G50" s="71">
        <f t="shared" si="15"/>
        <v>1</v>
      </c>
      <c r="H50" s="39">
        <f t="shared" si="16"/>
        <v>0.3</v>
      </c>
      <c r="I50">
        <v>0.3</v>
      </c>
      <c r="J50" s="71">
        <f t="shared" si="17"/>
        <v>0.3</v>
      </c>
      <c r="K50" s="71">
        <f t="shared" si="18"/>
        <v>22.6</v>
      </c>
      <c r="L50" s="72">
        <f t="shared" si="19"/>
        <v>0.24535025384171463</v>
      </c>
      <c r="M50" s="73">
        <f t="shared" si="20"/>
        <v>4.2821958513036594E-3</v>
      </c>
      <c r="N50" s="73">
        <f t="shared" si="21"/>
        <v>0.99999083152543844</v>
      </c>
      <c r="O50" s="74">
        <f t="shared" si="22"/>
        <v>9.168474561597566E-4</v>
      </c>
      <c r="P50" s="75">
        <f t="shared" si="23"/>
        <v>1.0000091685586232</v>
      </c>
      <c r="Q50" s="37">
        <f t="shared" si="24"/>
        <v>0.30000275056758696</v>
      </c>
      <c r="R50" s="43">
        <f t="shared" si="25"/>
        <v>22.600005501135175</v>
      </c>
      <c r="S50" s="76">
        <f t="shared" si="26"/>
        <v>4.2821565900999295E-3</v>
      </c>
      <c r="T50">
        <v>7.8</v>
      </c>
      <c r="U50" s="47">
        <f t="shared" si="27"/>
        <v>163.85450478801451</v>
      </c>
    </row>
    <row r="51" spans="1:21" ht="15" customHeight="1" thickBot="1">
      <c r="A51">
        <v>22.5</v>
      </c>
      <c r="B51" t="s">
        <v>143</v>
      </c>
      <c r="C51">
        <v>0.3</v>
      </c>
      <c r="D51">
        <v>0.3</v>
      </c>
      <c r="E51" s="37">
        <f t="shared" si="14"/>
        <v>22.8</v>
      </c>
      <c r="F51">
        <v>0</v>
      </c>
      <c r="G51" s="71">
        <f t="shared" si="15"/>
        <v>1</v>
      </c>
      <c r="H51" s="39">
        <f t="shared" si="16"/>
        <v>0.3</v>
      </c>
      <c r="I51">
        <v>0.3</v>
      </c>
      <c r="J51" s="71">
        <f t="shared" si="17"/>
        <v>0.3</v>
      </c>
      <c r="K51" s="71">
        <f t="shared" si="18"/>
        <v>23.1</v>
      </c>
      <c r="L51" s="72">
        <f t="shared" si="19"/>
        <v>0.23996982944543585</v>
      </c>
      <c r="M51" s="73">
        <f t="shared" si="20"/>
        <v>4.1882880475470003E-3</v>
      </c>
      <c r="N51" s="73">
        <f t="shared" si="21"/>
        <v>0.99999122923700612</v>
      </c>
      <c r="O51" s="74">
        <f t="shared" si="22"/>
        <v>8.7707629938445686E-4</v>
      </c>
      <c r="P51" s="75">
        <f t="shared" si="23"/>
        <v>1.0000087708399208</v>
      </c>
      <c r="Q51" s="37">
        <f t="shared" si="24"/>
        <v>0.30000263125197624</v>
      </c>
      <c r="R51" s="43">
        <f t="shared" si="25"/>
        <v>23.100005262503952</v>
      </c>
      <c r="S51" s="76">
        <f t="shared" si="26"/>
        <v>4.1882513130651854E-3</v>
      </c>
      <c r="T51">
        <v>7.8</v>
      </c>
      <c r="U51" s="47">
        <f t="shared" si="27"/>
        <v>167.52823802144064</v>
      </c>
    </row>
    <row r="52" spans="1:21" ht="15" customHeight="1" thickBot="1">
      <c r="A52">
        <v>23</v>
      </c>
      <c r="B52" t="s">
        <v>143</v>
      </c>
      <c r="C52">
        <v>0.3</v>
      </c>
      <c r="D52">
        <v>0.3</v>
      </c>
      <c r="E52" s="37">
        <f t="shared" si="14"/>
        <v>23.3</v>
      </c>
      <c r="F52">
        <v>0</v>
      </c>
      <c r="G52" s="71">
        <f t="shared" si="15"/>
        <v>1</v>
      </c>
      <c r="H52" s="39">
        <f t="shared" si="16"/>
        <v>0.3</v>
      </c>
      <c r="I52">
        <v>0.3</v>
      </c>
      <c r="J52" s="71">
        <f t="shared" si="17"/>
        <v>0.3</v>
      </c>
      <c r="K52" s="71">
        <f t="shared" si="18"/>
        <v>23.6</v>
      </c>
      <c r="L52" s="72">
        <f t="shared" si="19"/>
        <v>0.23482032058613184</v>
      </c>
      <c r="M52" s="73">
        <f t="shared" si="20"/>
        <v>4.0984106216339746E-3</v>
      </c>
      <c r="N52" s="73">
        <f t="shared" si="21"/>
        <v>0.99999160162098855</v>
      </c>
      <c r="O52" s="74">
        <f t="shared" si="22"/>
        <v>8.3983790114909129E-4</v>
      </c>
      <c r="P52" s="75">
        <f t="shared" si="23"/>
        <v>1.0000083984495449</v>
      </c>
      <c r="Q52" s="37">
        <f t="shared" si="24"/>
        <v>0.30000251953486345</v>
      </c>
      <c r="R52" s="43">
        <f t="shared" si="25"/>
        <v>23.600005039069728</v>
      </c>
      <c r="S52" s="76">
        <f t="shared" si="26"/>
        <v>4.0983762016282297E-3</v>
      </c>
      <c r="T52">
        <v>7.8</v>
      </c>
      <c r="U52" s="47">
        <f t="shared" si="27"/>
        <v>171.20197413859171</v>
      </c>
    </row>
    <row r="53" spans="1:21" ht="15" customHeight="1" thickBot="1">
      <c r="A53">
        <v>23.5</v>
      </c>
      <c r="B53" t="s">
        <v>143</v>
      </c>
      <c r="C53">
        <v>0.3</v>
      </c>
      <c r="D53">
        <v>0.3</v>
      </c>
      <c r="E53" s="37">
        <f t="shared" si="14"/>
        <v>23.8</v>
      </c>
      <c r="F53">
        <v>0</v>
      </c>
      <c r="G53" s="71">
        <f t="shared" si="15"/>
        <v>1</v>
      </c>
      <c r="H53" s="39">
        <f t="shared" si="16"/>
        <v>0.30000000000000004</v>
      </c>
      <c r="I53">
        <v>0.3</v>
      </c>
      <c r="J53" s="71">
        <f t="shared" si="17"/>
        <v>0.3</v>
      </c>
      <c r="K53" s="71">
        <f t="shared" si="18"/>
        <v>24.1</v>
      </c>
      <c r="L53" s="72">
        <f t="shared" si="19"/>
        <v>0.22988717408631065</v>
      </c>
      <c r="M53" s="73">
        <f t="shared" si="20"/>
        <v>4.0123095581542697E-3</v>
      </c>
      <c r="N53" s="73">
        <f t="shared" si="21"/>
        <v>0.9999919507831907</v>
      </c>
      <c r="O53" s="74">
        <f t="shared" si="22"/>
        <v>8.0492168093767213E-4</v>
      </c>
      <c r="P53" s="75">
        <f t="shared" si="23"/>
        <v>1.0000080492815997</v>
      </c>
      <c r="Q53" s="37">
        <f t="shared" si="24"/>
        <v>0.30000241478447992</v>
      </c>
      <c r="R53" s="43">
        <f t="shared" si="25"/>
        <v>24.10000482956896</v>
      </c>
      <c r="S53" s="76">
        <f t="shared" si="26"/>
        <v>4.01227726220473E-3</v>
      </c>
      <c r="T53">
        <v>7.8</v>
      </c>
      <c r="U53" s="47">
        <f t="shared" si="27"/>
        <v>174.87571295659677</v>
      </c>
    </row>
    <row r="54" spans="1:21" ht="15" customHeight="1" thickBot="1">
      <c r="A54">
        <v>24</v>
      </c>
      <c r="B54" t="s">
        <v>143</v>
      </c>
      <c r="C54">
        <v>0.3</v>
      </c>
      <c r="D54">
        <v>0.3</v>
      </c>
      <c r="E54" s="37">
        <f t="shared" si="14"/>
        <v>24.3</v>
      </c>
      <c r="F54">
        <v>0</v>
      </c>
      <c r="G54" s="71">
        <f t="shared" si="15"/>
        <v>1</v>
      </c>
      <c r="H54" s="39">
        <f t="shared" si="16"/>
        <v>0.3</v>
      </c>
      <c r="I54">
        <v>0.3</v>
      </c>
      <c r="J54" s="71">
        <f t="shared" si="17"/>
        <v>0.3</v>
      </c>
      <c r="K54" s="71">
        <f t="shared" si="18"/>
        <v>24.6</v>
      </c>
      <c r="L54" s="72">
        <f t="shared" si="19"/>
        <v>0.22515703452868505</v>
      </c>
      <c r="M54" s="73">
        <f t="shared" si="20"/>
        <v>3.9297517483157041E-3</v>
      </c>
      <c r="N54" s="73">
        <f t="shared" si="21"/>
        <v>0.99999227861502893</v>
      </c>
      <c r="O54" s="74">
        <f t="shared" si="22"/>
        <v>7.7213849710341031E-4</v>
      </c>
      <c r="P54" s="75">
        <f t="shared" si="23"/>
        <v>1.0000077214445913</v>
      </c>
      <c r="Q54" s="37">
        <f t="shared" si="24"/>
        <v>0.30000231643337738</v>
      </c>
      <c r="R54" s="43">
        <f t="shared" si="25"/>
        <v>24.600004632866757</v>
      </c>
      <c r="S54" s="76">
        <f t="shared" si="26"/>
        <v>3.9297214051896142E-3</v>
      </c>
      <c r="T54">
        <v>7.8</v>
      </c>
      <c r="U54" s="47">
        <f t="shared" si="27"/>
        <v>178.54945430772696</v>
      </c>
    </row>
    <row r="55" spans="1:21" ht="15" customHeight="1" thickBot="1">
      <c r="A55">
        <v>24.5</v>
      </c>
      <c r="B55" t="s">
        <v>143</v>
      </c>
      <c r="C55">
        <v>0.3</v>
      </c>
      <c r="D55">
        <v>0.3</v>
      </c>
      <c r="E55" s="37">
        <f t="shared" si="14"/>
        <v>24.8</v>
      </c>
      <c r="F55">
        <v>0</v>
      </c>
      <c r="G55" s="71">
        <f t="shared" si="15"/>
        <v>1</v>
      </c>
      <c r="H55" s="39">
        <f t="shared" si="16"/>
        <v>0.3</v>
      </c>
      <c r="I55">
        <v>0.3</v>
      </c>
      <c r="J55" s="71">
        <f t="shared" si="17"/>
        <v>0.3</v>
      </c>
      <c r="K55" s="71">
        <f t="shared" si="18"/>
        <v>25.1</v>
      </c>
      <c r="L55" s="72">
        <f t="shared" si="19"/>
        <v>0.22061762351799186</v>
      </c>
      <c r="M55" s="73">
        <f t="shared" si="20"/>
        <v>3.8505228824222419E-3</v>
      </c>
      <c r="N55" s="73">
        <f t="shared" si="21"/>
        <v>0.99999258681919967</v>
      </c>
      <c r="O55" s="74">
        <f t="shared" si="22"/>
        <v>7.4131808003308208E-4</v>
      </c>
      <c r="P55" s="75">
        <f t="shared" si="23"/>
        <v>1.0000074132357559</v>
      </c>
      <c r="Q55" s="37">
        <f t="shared" si="24"/>
        <v>0.30000222397072679</v>
      </c>
      <c r="R55" s="43">
        <f t="shared" si="25"/>
        <v>25.100004447941455</v>
      </c>
      <c r="S55" s="76">
        <f t="shared" si="26"/>
        <v>3.8504943377999381E-3</v>
      </c>
      <c r="T55">
        <v>7.8</v>
      </c>
      <c r="U55" s="47">
        <f t="shared" si="27"/>
        <v>182.22319803785931</v>
      </c>
    </row>
    <row r="56" spans="1:21" ht="15" customHeight="1" thickBot="1">
      <c r="A56">
        <v>25</v>
      </c>
      <c r="B56" t="s">
        <v>143</v>
      </c>
      <c r="C56">
        <v>0.3</v>
      </c>
      <c r="D56">
        <v>0.3</v>
      </c>
      <c r="E56" s="37">
        <f t="shared" si="14"/>
        <v>25.3</v>
      </c>
      <c r="F56">
        <v>0</v>
      </c>
      <c r="G56" s="71">
        <f t="shared" si="15"/>
        <v>1</v>
      </c>
      <c r="H56" s="39">
        <f t="shared" si="16"/>
        <v>0.3</v>
      </c>
      <c r="I56">
        <v>0.3</v>
      </c>
      <c r="J56" s="71">
        <f t="shared" si="17"/>
        <v>0.3</v>
      </c>
      <c r="K56" s="71">
        <f t="shared" si="18"/>
        <v>25.6</v>
      </c>
      <c r="L56" s="72">
        <f t="shared" si="19"/>
        <v>0.21625763325908465</v>
      </c>
      <c r="M56" s="73">
        <f t="shared" si="20"/>
        <v>3.7744255922557944E-3</v>
      </c>
      <c r="N56" s="73">
        <f t="shared" si="21"/>
        <v>0.99999287693183214</v>
      </c>
      <c r="O56" s="74">
        <f t="shared" si="22"/>
        <v>7.1230681678950236E-4</v>
      </c>
      <c r="P56" s="75">
        <f t="shared" si="23"/>
        <v>1.0000071231189065</v>
      </c>
      <c r="Q56" s="37">
        <f t="shared" si="24"/>
        <v>0.30000213693567196</v>
      </c>
      <c r="R56" s="43">
        <f t="shared" si="25"/>
        <v>25.600004273871345</v>
      </c>
      <c r="S56" s="76">
        <f t="shared" si="26"/>
        <v>3.7743987067650063E-3</v>
      </c>
      <c r="T56">
        <v>7.8</v>
      </c>
      <c r="U56" s="47">
        <f t="shared" si="27"/>
        <v>185.89694400512522</v>
      </c>
    </row>
    <row r="57" spans="1:21" ht="15" customHeight="1" thickBot="1">
      <c r="A57">
        <v>25.5</v>
      </c>
      <c r="B57" t="s">
        <v>143</v>
      </c>
      <c r="C57">
        <v>0.3</v>
      </c>
      <c r="D57">
        <v>0.3</v>
      </c>
      <c r="E57" s="37">
        <f t="shared" si="14"/>
        <v>25.8</v>
      </c>
      <c r="F57">
        <v>0</v>
      </c>
      <c r="G57" s="71">
        <f t="shared" si="15"/>
        <v>1</v>
      </c>
      <c r="H57" s="39">
        <f t="shared" si="16"/>
        <v>0.3</v>
      </c>
      <c r="I57">
        <v>0.3</v>
      </c>
      <c r="J57" s="71">
        <f t="shared" si="17"/>
        <v>0.3</v>
      </c>
      <c r="K57" s="71">
        <f t="shared" si="18"/>
        <v>26.1</v>
      </c>
      <c r="L57" s="72">
        <f t="shared" si="19"/>
        <v>0.21206663250924587</v>
      </c>
      <c r="M57" s="73">
        <f t="shared" si="20"/>
        <v>3.7012778094601398E-3</v>
      </c>
      <c r="N57" s="73">
        <f t="shared" si="21"/>
        <v>0.99999315034166603</v>
      </c>
      <c r="O57" s="74">
        <f t="shared" si="22"/>
        <v>6.8496583340479E-4</v>
      </c>
      <c r="P57" s="75">
        <f t="shared" si="23"/>
        <v>1.0000068497052521</v>
      </c>
      <c r="Q57" s="37">
        <f t="shared" si="24"/>
        <v>0.30000205491157561</v>
      </c>
      <c r="R57" s="43">
        <f t="shared" si="25"/>
        <v>26.10000410982315</v>
      </c>
      <c r="S57" s="76">
        <f t="shared" si="26"/>
        <v>3.701252456971746E-3</v>
      </c>
      <c r="T57">
        <v>7.8</v>
      </c>
      <c r="U57" s="47">
        <f t="shared" si="27"/>
        <v>189.57069207871578</v>
      </c>
    </row>
    <row r="58" spans="1:21" ht="15" customHeight="1" thickBot="1">
      <c r="A58">
        <v>26</v>
      </c>
      <c r="B58" t="s">
        <v>143</v>
      </c>
      <c r="C58">
        <v>0.3</v>
      </c>
      <c r="D58">
        <v>0.3</v>
      </c>
      <c r="E58" s="37">
        <f t="shared" si="14"/>
        <v>26.3</v>
      </c>
      <c r="F58">
        <v>0</v>
      </c>
      <c r="G58" s="71">
        <f t="shared" si="15"/>
        <v>1</v>
      </c>
      <c r="H58" s="39">
        <f t="shared" si="16"/>
        <v>0.3</v>
      </c>
      <c r="I58">
        <v>0.3</v>
      </c>
      <c r="J58" s="71">
        <f t="shared" si="17"/>
        <v>0.3</v>
      </c>
      <c r="K58" s="71">
        <f t="shared" si="18"/>
        <v>26.6</v>
      </c>
      <c r="L58" s="72">
        <f t="shared" si="19"/>
        <v>0.2080349832580223</v>
      </c>
      <c r="M58" s="73">
        <f t="shared" si="20"/>
        <v>3.6309113111814297E-3</v>
      </c>
      <c r="N58" s="73">
        <f t="shared" si="21"/>
        <v>0.99999340830670136</v>
      </c>
      <c r="O58" s="74">
        <f t="shared" si="22"/>
        <v>6.5916932986039478E-4</v>
      </c>
      <c r="P58" s="75">
        <f t="shared" si="23"/>
        <v>1.0000065917367493</v>
      </c>
      <c r="Q58" s="37">
        <f t="shared" si="24"/>
        <v>0.30000197752102481</v>
      </c>
      <c r="R58" s="43">
        <f t="shared" si="25"/>
        <v>26.600003955042048</v>
      </c>
      <c r="S58" s="76">
        <f t="shared" si="26"/>
        <v>3.6308873773276715E-3</v>
      </c>
      <c r="T58">
        <v>7.8</v>
      </c>
      <c r="U58" s="47">
        <f t="shared" si="27"/>
        <v>193.24444213782542</v>
      </c>
    </row>
    <row r="59" spans="1:21" ht="15" customHeight="1" thickBot="1">
      <c r="A59">
        <v>26.5</v>
      </c>
      <c r="B59" t="s">
        <v>143</v>
      </c>
      <c r="C59">
        <v>0.3</v>
      </c>
      <c r="D59">
        <v>0.3</v>
      </c>
      <c r="E59" s="37">
        <f t="shared" si="14"/>
        <v>26.8</v>
      </c>
      <c r="F59">
        <v>0</v>
      </c>
      <c r="G59" s="71">
        <f t="shared" si="15"/>
        <v>1</v>
      </c>
      <c r="H59" s="39">
        <f t="shared" si="16"/>
        <v>0.3</v>
      </c>
      <c r="I59">
        <v>0.3</v>
      </c>
      <c r="J59" s="71">
        <f t="shared" si="17"/>
        <v>0.3</v>
      </c>
      <c r="K59" s="71">
        <f t="shared" si="18"/>
        <v>27.1</v>
      </c>
      <c r="L59" s="72">
        <f t="shared" si="19"/>
        <v>0.20415376673365102</v>
      </c>
      <c r="M59" s="73">
        <f t="shared" si="20"/>
        <v>3.5631704285101345E-3</v>
      </c>
      <c r="N59" s="73">
        <f t="shared" si="21"/>
        <v>0.9999936519686955</v>
      </c>
      <c r="O59" s="74">
        <f t="shared" si="22"/>
        <v>6.3480313045038983E-4</v>
      </c>
      <c r="P59" s="75">
        <f t="shared" si="23"/>
        <v>1.0000063480716024</v>
      </c>
      <c r="Q59" s="37">
        <f t="shared" si="24"/>
        <v>0.30000190442148073</v>
      </c>
      <c r="R59" s="43">
        <f t="shared" si="25"/>
        <v>27.10000380884296</v>
      </c>
      <c r="S59" s="76">
        <f t="shared" si="26"/>
        <v>3.5631478093927109E-3</v>
      </c>
      <c r="T59">
        <v>7.8</v>
      </c>
      <c r="U59" s="47">
        <f t="shared" si="27"/>
        <v>196.91819407071281</v>
      </c>
    </row>
    <row r="60" spans="1:21" ht="15" customHeight="1" thickBot="1">
      <c r="A60">
        <v>27</v>
      </c>
      <c r="B60" t="s">
        <v>143</v>
      </c>
      <c r="C60">
        <v>0.3</v>
      </c>
      <c r="D60">
        <v>0.3</v>
      </c>
      <c r="E60" s="37">
        <f t="shared" si="14"/>
        <v>27.3</v>
      </c>
      <c r="F60">
        <v>0</v>
      </c>
      <c r="G60" s="71">
        <f t="shared" si="15"/>
        <v>1</v>
      </c>
      <c r="H60" s="39">
        <f t="shared" si="16"/>
        <v>0.3</v>
      </c>
      <c r="I60">
        <v>0.3</v>
      </c>
      <c r="J60" s="71">
        <f t="shared" si="17"/>
        <v>0.3</v>
      </c>
      <c r="K60" s="71">
        <f t="shared" si="18"/>
        <v>27.6</v>
      </c>
      <c r="L60" s="72">
        <f t="shared" si="19"/>
        <v>0.20041471754040099</v>
      </c>
      <c r="M60" s="73">
        <f t="shared" si="20"/>
        <v>3.4979108968524399E-3</v>
      </c>
      <c r="N60" s="73">
        <f t="shared" si="21"/>
        <v>0.99999388236581743</v>
      </c>
      <c r="O60" s="74">
        <f t="shared" si="22"/>
        <v>6.1176341825674996E-4</v>
      </c>
      <c r="P60" s="75">
        <f t="shared" si="23"/>
        <v>1.0000061176716084</v>
      </c>
      <c r="Q60" s="37">
        <f t="shared" si="24"/>
        <v>0.3000018353014825</v>
      </c>
      <c r="R60" s="43">
        <f t="shared" si="25"/>
        <v>27.600003670602966</v>
      </c>
      <c r="S60" s="76">
        <f t="shared" si="26"/>
        <v>3.4978894979131696E-3</v>
      </c>
      <c r="T60">
        <v>7.8</v>
      </c>
      <c r="U60" s="47">
        <f t="shared" si="27"/>
        <v>200.59194777386691</v>
      </c>
    </row>
    <row r="61" spans="1:21" ht="15" customHeight="1" thickBot="1">
      <c r="A61">
        <v>27.5</v>
      </c>
      <c r="B61" t="s">
        <v>143</v>
      </c>
      <c r="C61">
        <v>0.3</v>
      </c>
      <c r="D61">
        <v>0.3</v>
      </c>
      <c r="E61" s="37">
        <f t="shared" si="14"/>
        <v>27.8</v>
      </c>
      <c r="F61">
        <v>0</v>
      </c>
      <c r="G61" s="71">
        <f t="shared" si="15"/>
        <v>1</v>
      </c>
      <c r="H61" s="39">
        <f t="shared" si="16"/>
        <v>0.3</v>
      </c>
      <c r="I61">
        <v>0.3</v>
      </c>
      <c r="J61" s="71">
        <f t="shared" si="17"/>
        <v>0.3</v>
      </c>
      <c r="K61" s="71">
        <f t="shared" si="18"/>
        <v>28.1</v>
      </c>
      <c r="L61" s="72">
        <f t="shared" si="19"/>
        <v>0.19681016490318939</v>
      </c>
      <c r="M61" s="73">
        <f t="shared" si="20"/>
        <v>3.4349988303622883E-3</v>
      </c>
      <c r="N61" s="73">
        <f t="shared" si="21"/>
        <v>0.99999410044372528</v>
      </c>
      <c r="O61" s="74">
        <f t="shared" si="22"/>
        <v>5.8995562747983976E-4</v>
      </c>
      <c r="P61" s="75">
        <f t="shared" si="23"/>
        <v>1.0000058995910797</v>
      </c>
      <c r="Q61" s="37">
        <f t="shared" si="24"/>
        <v>0.30000176987732391</v>
      </c>
      <c r="R61" s="43">
        <f t="shared" si="25"/>
        <v>28.100003539754649</v>
      </c>
      <c r="S61" s="76">
        <f t="shared" si="26"/>
        <v>3.4349785653933853E-3</v>
      </c>
      <c r="T61">
        <v>7.8</v>
      </c>
      <c r="U61" s="47">
        <f t="shared" si="27"/>
        <v>204.26570315126267</v>
      </c>
    </row>
    <row r="62" spans="1:21" ht="15" customHeight="1" thickBot="1">
      <c r="A62">
        <v>28</v>
      </c>
      <c r="B62" t="s">
        <v>143</v>
      </c>
      <c r="C62">
        <v>0.3</v>
      </c>
      <c r="D62">
        <v>0.3</v>
      </c>
      <c r="E62" s="37">
        <f t="shared" si="14"/>
        <v>28.3</v>
      </c>
      <c r="F62">
        <v>0</v>
      </c>
      <c r="G62" s="71">
        <f t="shared" si="15"/>
        <v>1</v>
      </c>
      <c r="H62" s="39">
        <f t="shared" si="16"/>
        <v>0.3</v>
      </c>
      <c r="I62">
        <v>0.3</v>
      </c>
      <c r="J62" s="71">
        <f t="shared" si="17"/>
        <v>0.3</v>
      </c>
      <c r="K62" s="71">
        <f t="shared" si="18"/>
        <v>28.6</v>
      </c>
      <c r="L62" s="72">
        <f t="shared" si="19"/>
        <v>0.19333298014050826</v>
      </c>
      <c r="M62" s="73">
        <f t="shared" si="20"/>
        <v>3.3743098050908692E-3</v>
      </c>
      <c r="N62" s="73">
        <f t="shared" si="21"/>
        <v>0.99999430706528425</v>
      </c>
      <c r="O62" s="74">
        <f t="shared" si="22"/>
        <v>5.6929347156768162E-4</v>
      </c>
      <c r="P62" s="75">
        <f t="shared" si="23"/>
        <v>1.0000056929671255</v>
      </c>
      <c r="Q62" s="37">
        <f t="shared" si="24"/>
        <v>0.30000170789013764</v>
      </c>
      <c r="R62" s="43">
        <f t="shared" si="25"/>
        <v>28.600003415780275</v>
      </c>
      <c r="S62" s="76">
        <f t="shared" si="26"/>
        <v>3.3742905953654378E-3</v>
      </c>
      <c r="T62">
        <v>7.8</v>
      </c>
      <c r="U62" s="47">
        <f t="shared" si="27"/>
        <v>207.9394601136969</v>
      </c>
    </row>
    <row r="63" spans="1:21" ht="15" customHeight="1" thickBot="1">
      <c r="A63">
        <v>28.5</v>
      </c>
      <c r="B63" t="s">
        <v>143</v>
      </c>
      <c r="C63">
        <v>0.3</v>
      </c>
      <c r="D63">
        <v>0.3</v>
      </c>
      <c r="E63" s="37">
        <f t="shared" si="14"/>
        <v>28.8</v>
      </c>
      <c r="F63">
        <v>0</v>
      </c>
      <c r="G63" s="71">
        <f t="shared" si="15"/>
        <v>1</v>
      </c>
      <c r="H63" s="39">
        <f t="shared" si="16"/>
        <v>0.3</v>
      </c>
      <c r="I63">
        <v>0.3</v>
      </c>
      <c r="J63" s="71">
        <f t="shared" si="17"/>
        <v>0.3</v>
      </c>
      <c r="K63" s="71">
        <f t="shared" si="18"/>
        <v>29.1</v>
      </c>
      <c r="L63" s="72">
        <f t="shared" si="19"/>
        <v>0.18997652960877351</v>
      </c>
      <c r="M63" s="73">
        <f t="shared" si="20"/>
        <v>3.3157280376413753E-3</v>
      </c>
      <c r="N63" s="73">
        <f t="shared" si="21"/>
        <v>0.99999450301911574</v>
      </c>
      <c r="O63" s="74">
        <f t="shared" si="22"/>
        <v>5.4969808841824164E-4</v>
      </c>
      <c r="P63" s="75">
        <f t="shared" si="23"/>
        <v>1.0000054970111012</v>
      </c>
      <c r="Q63" s="37">
        <f t="shared" si="24"/>
        <v>0.30000164910333033</v>
      </c>
      <c r="R63" s="43">
        <f t="shared" si="25"/>
        <v>29.100003298206662</v>
      </c>
      <c r="S63" s="76">
        <f t="shared" si="26"/>
        <v>3.3157098111477349E-3</v>
      </c>
      <c r="T63">
        <v>7.8</v>
      </c>
      <c r="U63" s="47">
        <f t="shared" si="27"/>
        <v>211.61321857819209</v>
      </c>
    </row>
    <row r="64" spans="1:21" ht="15" customHeight="1" thickBot="1">
      <c r="A64">
        <v>29</v>
      </c>
      <c r="B64" t="s">
        <v>143</v>
      </c>
      <c r="C64">
        <v>0.3</v>
      </c>
      <c r="D64">
        <v>0.3</v>
      </c>
      <c r="E64" s="37">
        <f t="shared" si="14"/>
        <v>29.3</v>
      </c>
      <c r="F64">
        <v>0</v>
      </c>
      <c r="G64" s="71">
        <f t="shared" si="15"/>
        <v>1</v>
      </c>
      <c r="H64" s="39">
        <f t="shared" si="16"/>
        <v>0.3</v>
      </c>
      <c r="I64">
        <v>0.3</v>
      </c>
      <c r="J64" s="71">
        <f t="shared" si="17"/>
        <v>0.3</v>
      </c>
      <c r="K64" s="71">
        <f t="shared" si="18"/>
        <v>29.6</v>
      </c>
      <c r="L64" s="72">
        <f t="shared" si="19"/>
        <v>0.18673463246453204</v>
      </c>
      <c r="M64" s="73">
        <f t="shared" si="20"/>
        <v>3.2591456479205325E-3</v>
      </c>
      <c r="N64" s="73">
        <f t="shared" si="21"/>
        <v>0.99999468902713273</v>
      </c>
      <c r="O64" s="74">
        <f t="shared" si="22"/>
        <v>5.3109728672303313E-4</v>
      </c>
      <c r="P64" s="75">
        <f t="shared" si="23"/>
        <v>1.0000053110010738</v>
      </c>
      <c r="Q64" s="37">
        <f t="shared" si="24"/>
        <v>0.30000159330032211</v>
      </c>
      <c r="R64" s="43">
        <f t="shared" si="25"/>
        <v>29.600003186600645</v>
      </c>
      <c r="S64" s="76">
        <f t="shared" si="26"/>
        <v>3.2591283386864257E-3</v>
      </c>
      <c r="T64">
        <v>7.8</v>
      </c>
      <c r="U64" s="47">
        <f t="shared" si="27"/>
        <v>215.28697846746357</v>
      </c>
    </row>
    <row r="65" spans="1:21" ht="15" customHeight="1" thickBot="1">
      <c r="A65">
        <v>29.5</v>
      </c>
      <c r="B65" t="s">
        <v>143</v>
      </c>
      <c r="C65">
        <v>0.3</v>
      </c>
      <c r="D65">
        <v>0.3</v>
      </c>
      <c r="E65" s="37">
        <f t="shared" si="14"/>
        <v>29.8</v>
      </c>
      <c r="F65">
        <v>0</v>
      </c>
      <c r="G65" s="71">
        <f t="shared" si="15"/>
        <v>1</v>
      </c>
      <c r="H65" s="39">
        <f t="shared" si="16"/>
        <v>0.3</v>
      </c>
      <c r="I65">
        <v>0.3</v>
      </c>
      <c r="J65" s="71">
        <f t="shared" si="17"/>
        <v>0.3</v>
      </c>
      <c r="K65" s="71">
        <f t="shared" si="18"/>
        <v>30.1</v>
      </c>
      <c r="L65" s="72">
        <f t="shared" si="19"/>
        <v>0.18360152267868882</v>
      </c>
      <c r="M65" s="73">
        <f t="shared" si="20"/>
        <v>3.2044619961097854E-3</v>
      </c>
      <c r="N65" s="73">
        <f t="shared" si="21"/>
        <v>0.99999486575119878</v>
      </c>
      <c r="O65" s="74">
        <f t="shared" si="22"/>
        <v>5.1342488012936138E-4</v>
      </c>
      <c r="P65" s="75">
        <f t="shared" si="23"/>
        <v>1.0000051342751619</v>
      </c>
      <c r="Q65" s="37">
        <f t="shared" si="24"/>
        <v>0.30000154028254855</v>
      </c>
      <c r="R65" s="43">
        <f t="shared" si="25"/>
        <v>30.100003080565099</v>
      </c>
      <c r="S65" s="76">
        <f t="shared" si="26"/>
        <v>3.2044455436046233E-3</v>
      </c>
      <c r="T65">
        <v>7.8</v>
      </c>
      <c r="U65" s="47">
        <f t="shared" si="27"/>
        <v>218.96073970943888</v>
      </c>
    </row>
    <row r="66" spans="1:21" ht="15" customHeight="1" thickBot="1">
      <c r="A66">
        <v>30</v>
      </c>
      <c r="B66" t="s">
        <v>143</v>
      </c>
      <c r="C66">
        <v>0.3</v>
      </c>
      <c r="D66">
        <v>0.3</v>
      </c>
      <c r="E66" s="37">
        <f t="shared" si="14"/>
        <v>30.3</v>
      </c>
      <c r="F66">
        <v>0</v>
      </c>
      <c r="G66" s="71">
        <f t="shared" si="15"/>
        <v>1</v>
      </c>
      <c r="H66" s="39">
        <f t="shared" si="16"/>
        <v>0.3</v>
      </c>
      <c r="I66">
        <v>0.3</v>
      </c>
      <c r="J66" s="71">
        <f t="shared" si="17"/>
        <v>0.3</v>
      </c>
      <c r="K66" s="71">
        <f t="shared" si="18"/>
        <v>30.6</v>
      </c>
      <c r="L66" s="72">
        <f t="shared" si="19"/>
        <v>0.18057181481160947</v>
      </c>
      <c r="M66" s="73">
        <f t="shared" si="20"/>
        <v>3.1515830852828913E-3</v>
      </c>
      <c r="N66" s="73">
        <f t="shared" si="21"/>
        <v>0.99999503379902321</v>
      </c>
      <c r="O66" s="74">
        <f t="shared" si="22"/>
        <v>4.966200976748899E-4</v>
      </c>
      <c r="P66" s="75">
        <f t="shared" si="23"/>
        <v>1.0000049662256401</v>
      </c>
      <c r="Q66" s="37">
        <f t="shared" si="24"/>
        <v>0.30000148986769198</v>
      </c>
      <c r="R66" s="43">
        <f t="shared" si="25"/>
        <v>30.600002979735383</v>
      </c>
      <c r="S66" s="76">
        <f t="shared" si="26"/>
        <v>3.1515674338878953E-3</v>
      </c>
      <c r="T66">
        <v>7.8</v>
      </c>
      <c r="U66" s="47">
        <f t="shared" si="27"/>
        <v>222.63450223682591</v>
      </c>
    </row>
    <row r="67" spans="1:21" ht="15" customHeight="1" thickBot="1">
      <c r="A67">
        <v>30.5</v>
      </c>
      <c r="B67" t="s">
        <v>143</v>
      </c>
      <c r="C67">
        <v>0.3</v>
      </c>
      <c r="D67">
        <v>0.3</v>
      </c>
      <c r="E67" s="37">
        <f t="shared" si="14"/>
        <v>30.8</v>
      </c>
      <c r="F67">
        <v>0</v>
      </c>
      <c r="G67" s="71">
        <f t="shared" si="15"/>
        <v>1</v>
      </c>
      <c r="H67" s="39">
        <f t="shared" si="16"/>
        <v>0.3</v>
      </c>
      <c r="I67">
        <v>0.3</v>
      </c>
      <c r="J67" s="71">
        <f t="shared" si="17"/>
        <v>0.3</v>
      </c>
      <c r="K67" s="71">
        <f t="shared" si="18"/>
        <v>31.1</v>
      </c>
      <c r="L67" s="72">
        <f t="shared" si="19"/>
        <v>0.17764047312173814</v>
      </c>
      <c r="M67" s="73">
        <f t="shared" si="20"/>
        <v>3.1004210222101173E-3</v>
      </c>
      <c r="N67" s="73">
        <f t="shared" si="21"/>
        <v>0.99999519372939305</v>
      </c>
      <c r="O67" s="74">
        <f t="shared" si="22"/>
        <v>4.8062706068755884E-4</v>
      </c>
      <c r="P67" s="75">
        <f t="shared" si="23"/>
        <v>1.0000048062937072</v>
      </c>
      <c r="Q67" s="37">
        <f t="shared" si="24"/>
        <v>0.30000144188811217</v>
      </c>
      <c r="R67" s="43">
        <f t="shared" si="25"/>
        <v>31.100002883776224</v>
      </c>
      <c r="S67" s="76">
        <f t="shared" si="26"/>
        <v>3.1004061207476896E-3</v>
      </c>
      <c r="T67">
        <v>7.8</v>
      </c>
      <c r="U67" s="47">
        <f t="shared" si="27"/>
        <v>226.30826598672314</v>
      </c>
    </row>
    <row r="68" spans="1:21" ht="15" customHeight="1" thickBot="1">
      <c r="A68">
        <v>31</v>
      </c>
      <c r="B68" t="s">
        <v>143</v>
      </c>
      <c r="C68">
        <v>0.3</v>
      </c>
      <c r="D68">
        <v>0.3</v>
      </c>
      <c r="E68" s="37">
        <f t="shared" si="14"/>
        <v>31.3</v>
      </c>
      <c r="F68">
        <v>0</v>
      </c>
      <c r="G68" s="71">
        <f t="shared" si="15"/>
        <v>1</v>
      </c>
      <c r="H68" s="39">
        <f t="shared" si="16"/>
        <v>0.3</v>
      </c>
      <c r="I68">
        <v>0.3</v>
      </c>
      <c r="J68" s="71">
        <f t="shared" si="17"/>
        <v>0.3</v>
      </c>
      <c r="K68" s="71">
        <f t="shared" si="18"/>
        <v>31.6</v>
      </c>
      <c r="L68" s="72">
        <f t="shared" si="19"/>
        <v>0.17480278363498306</v>
      </c>
      <c r="M68" s="73">
        <f t="shared" si="20"/>
        <v>3.0508935298425429E-3</v>
      </c>
      <c r="N68" s="73">
        <f t="shared" si="21"/>
        <v>0.99999534605682372</v>
      </c>
      <c r="O68" s="74">
        <f t="shared" si="22"/>
        <v>4.6539431762064137E-4</v>
      </c>
      <c r="P68" s="75">
        <f t="shared" si="23"/>
        <v>1.0000046539648355</v>
      </c>
      <c r="Q68" s="37">
        <f t="shared" si="24"/>
        <v>0.30000139618945065</v>
      </c>
      <c r="R68" s="43">
        <f t="shared" si="25"/>
        <v>31.600002792378902</v>
      </c>
      <c r="S68" s="76">
        <f t="shared" si="26"/>
        <v>3.0508793311574182E-3</v>
      </c>
      <c r="T68">
        <v>7.8</v>
      </c>
      <c r="U68" s="47">
        <f t="shared" si="27"/>
        <v>229.98203090026712</v>
      </c>
    </row>
    <row r="69" spans="1:21" ht="15" customHeight="1" thickBot="1">
      <c r="A69">
        <v>31.5</v>
      </c>
      <c r="B69" t="s">
        <v>143</v>
      </c>
      <c r="C69">
        <v>0.3</v>
      </c>
      <c r="D69">
        <v>0.3</v>
      </c>
      <c r="E69" s="37">
        <f t="shared" si="14"/>
        <v>31.8</v>
      </c>
      <c r="F69">
        <v>0</v>
      </c>
      <c r="G69" s="71">
        <f t="shared" si="15"/>
        <v>1</v>
      </c>
      <c r="H69" s="39">
        <f t="shared" si="16"/>
        <v>0.3</v>
      </c>
      <c r="I69">
        <v>0.3</v>
      </c>
      <c r="J69" s="71">
        <f t="shared" si="17"/>
        <v>0.3</v>
      </c>
      <c r="K69" s="71">
        <f t="shared" si="18"/>
        <v>32.1</v>
      </c>
      <c r="L69" s="72">
        <f t="shared" si="19"/>
        <v>0.17205432884900773</v>
      </c>
      <c r="M69" s="73">
        <f t="shared" si="20"/>
        <v>3.0029235057884153E-3</v>
      </c>
      <c r="N69" s="73">
        <f t="shared" si="21"/>
        <v>0.99999549125570253</v>
      </c>
      <c r="O69" s="74">
        <f t="shared" si="22"/>
        <v>4.508744297545183E-4</v>
      </c>
      <c r="P69" s="75">
        <f t="shared" si="23"/>
        <v>1.0000045087646265</v>
      </c>
      <c r="Q69" s="37">
        <f t="shared" si="24"/>
        <v>0.30000135262938793</v>
      </c>
      <c r="R69" s="43">
        <f t="shared" si="25"/>
        <v>32.100002705258774</v>
      </c>
      <c r="S69" s="76">
        <f t="shared" si="26"/>
        <v>3.0029099663741827E-3</v>
      </c>
      <c r="T69">
        <v>7.8</v>
      </c>
      <c r="U69" s="47">
        <f t="shared" si="27"/>
        <v>233.65579692231373</v>
      </c>
    </row>
    <row r="70" spans="1:21" ht="15" customHeight="1" thickBot="1">
      <c r="A70">
        <v>32</v>
      </c>
      <c r="B70" t="s">
        <v>143</v>
      </c>
      <c r="C70">
        <v>0.3</v>
      </c>
      <c r="D70">
        <v>0.3</v>
      </c>
      <c r="E70" s="37">
        <f t="shared" si="14"/>
        <v>32.299999999999997</v>
      </c>
      <c r="F70">
        <v>0</v>
      </c>
      <c r="G70" s="71">
        <f t="shared" si="15"/>
        <v>1</v>
      </c>
      <c r="H70" s="39">
        <f t="shared" si="16"/>
        <v>0.3</v>
      </c>
      <c r="I70">
        <v>0.3</v>
      </c>
      <c r="J70" s="71">
        <f t="shared" si="17"/>
        <v>0.3</v>
      </c>
      <c r="K70" s="71">
        <f t="shared" si="18"/>
        <v>32.6</v>
      </c>
      <c r="L70" s="72">
        <f t="shared" si="19"/>
        <v>0.16939096478691787</v>
      </c>
      <c r="M70" s="73">
        <f t="shared" si="20"/>
        <v>2.9564386217978827E-3</v>
      </c>
      <c r="N70" s="73">
        <f t="shared" si="21"/>
        <v>0.99999562976398637</v>
      </c>
      <c r="O70" s="74">
        <f t="shared" si="22"/>
        <v>4.3702360136288476E-4</v>
      </c>
      <c r="P70" s="75">
        <f t="shared" si="23"/>
        <v>1.0000043702551127</v>
      </c>
      <c r="Q70" s="37">
        <f t="shared" si="24"/>
        <v>0.30000131107653377</v>
      </c>
      <c r="R70" s="43">
        <f t="shared" si="25"/>
        <v>32.60000262215307</v>
      </c>
      <c r="S70" s="76">
        <f t="shared" si="26"/>
        <v>2.9564257014633461E-3</v>
      </c>
      <c r="T70">
        <v>7.8</v>
      </c>
      <c r="U70" s="47">
        <f t="shared" si="27"/>
        <v>237.32956400114858</v>
      </c>
    </row>
    <row r="71" spans="1:21" ht="15" customHeight="1" thickBot="1">
      <c r="A71">
        <v>32.5</v>
      </c>
      <c r="B71" t="s">
        <v>143</v>
      </c>
      <c r="C71">
        <v>0.3</v>
      </c>
      <c r="D71">
        <v>0.3</v>
      </c>
      <c r="E71" s="37">
        <f t="shared" si="14"/>
        <v>32.799999999999997</v>
      </c>
      <c r="F71">
        <v>0</v>
      </c>
      <c r="G71" s="71">
        <f t="shared" si="15"/>
        <v>1</v>
      </c>
      <c r="H71" s="39">
        <f t="shared" si="16"/>
        <v>0.3</v>
      </c>
      <c r="I71">
        <v>0.3</v>
      </c>
      <c r="J71" s="71">
        <f t="shared" si="17"/>
        <v>0.3</v>
      </c>
      <c r="K71" s="71">
        <f t="shared" si="18"/>
        <v>33.1</v>
      </c>
      <c r="L71" s="72">
        <f t="shared" si="19"/>
        <v>0.16680880014965355</v>
      </c>
      <c r="M71" s="73">
        <f t="shared" si="20"/>
        <v>2.9113709598802321E-3</v>
      </c>
      <c r="N71" s="73">
        <f t="shared" si="21"/>
        <v>0.9999957619865083</v>
      </c>
      <c r="O71" s="74">
        <f t="shared" si="22"/>
        <v>4.2380134916234863E-4</v>
      </c>
      <c r="P71" s="75">
        <f t="shared" si="23"/>
        <v>1.0000042380314524</v>
      </c>
      <c r="Q71" s="37">
        <f t="shared" si="24"/>
        <v>0.30000127140943572</v>
      </c>
      <c r="R71" s="43">
        <f t="shared" si="25"/>
        <v>33.100002542818871</v>
      </c>
      <c r="S71" s="76">
        <f t="shared" si="26"/>
        <v>2.911358621450825E-3</v>
      </c>
      <c r="T71">
        <v>7.8</v>
      </c>
      <c r="U71" s="47">
        <f t="shared" si="27"/>
        <v>241.00333208822519</v>
      </c>
    </row>
    <row r="72" spans="1:21" ht="15" customHeight="1" thickBot="1">
      <c r="A72">
        <v>33</v>
      </c>
      <c r="B72" t="s">
        <v>143</v>
      </c>
      <c r="C72">
        <v>0.3</v>
      </c>
      <c r="D72">
        <v>0.3</v>
      </c>
      <c r="E72" s="37">
        <f t="shared" ref="E72:E103" si="28">A72+J72</f>
        <v>33.299999999999997</v>
      </c>
      <c r="F72">
        <v>0</v>
      </c>
      <c r="G72" s="71">
        <f t="shared" ref="G72:G103" si="29">100/(100-F72)</f>
        <v>1</v>
      </c>
      <c r="H72" s="39">
        <f t="shared" ref="H72:H103" si="30">3.1415926*E72*M72</f>
        <v>0.3</v>
      </c>
      <c r="I72">
        <v>0.3</v>
      </c>
      <c r="J72" s="71">
        <f t="shared" ref="J72:J103" si="31">G72*C72</f>
        <v>0.3</v>
      </c>
      <c r="K72" s="71">
        <f t="shared" ref="K72:K103" si="32">A72+2*J72</f>
        <v>33.6</v>
      </c>
      <c r="L72" s="72">
        <f t="shared" ref="L72:L103" si="33">ATAN(I72/(3.1415926*(A72+J72)))*180/3.1415926</f>
        <v>0.16430417734650624</v>
      </c>
      <c r="M72" s="73">
        <f t="shared" ref="M72:M103" si="34">I72/(3.1415926*(A72+J72))</f>
        <v>2.8676566812033521E-3</v>
      </c>
      <c r="N72" s="73">
        <f t="shared" ref="N72:N103" si="35">COS(L72*3.1415926/180)</f>
        <v>0.99999588829793862</v>
      </c>
      <c r="O72" s="74">
        <f t="shared" ref="O72:O103" si="36">(D72-I72*N72)/D72*100</f>
        <v>4.1117020614193461E-4</v>
      </c>
      <c r="P72" s="75">
        <f t="shared" ref="P72:P103" si="37">100/(100-O72)</f>
        <v>1.0000041117189675</v>
      </c>
      <c r="Q72" s="37">
        <f t="shared" ref="Q72:Q103" si="38">P72*C72</f>
        <v>0.30000123351569025</v>
      </c>
      <c r="R72" s="43">
        <f t="shared" ref="R72:R103" si="39">A72+2*Q72</f>
        <v>33.600002467031381</v>
      </c>
      <c r="S72" s="76">
        <f t="shared" ref="S72:S103" si="40">SIN(L72*3.1415926/180)</f>
        <v>2.8676448902534651E-3</v>
      </c>
      <c r="T72">
        <v>7.8</v>
      </c>
      <c r="U72" s="47">
        <f t="shared" ref="U72:U103" si="41">3.14*(A72+Q72)*Q72*T72*P72</f>
        <v>244.67710113792558</v>
      </c>
    </row>
    <row r="73" spans="1:21" ht="15" customHeight="1" thickBot="1">
      <c r="A73">
        <v>33.5</v>
      </c>
      <c r="B73" t="s">
        <v>143</v>
      </c>
      <c r="C73">
        <v>0.3</v>
      </c>
      <c r="D73">
        <v>0.3</v>
      </c>
      <c r="E73" s="37">
        <f t="shared" si="28"/>
        <v>33.799999999999997</v>
      </c>
      <c r="F73">
        <v>0</v>
      </c>
      <c r="G73" s="71">
        <f t="shared" si="29"/>
        <v>1</v>
      </c>
      <c r="H73" s="39">
        <f t="shared" si="30"/>
        <v>0.3</v>
      </c>
      <c r="I73">
        <v>0.3</v>
      </c>
      <c r="J73" s="71">
        <f t="shared" si="31"/>
        <v>0.3</v>
      </c>
      <c r="K73" s="71">
        <f t="shared" si="32"/>
        <v>34.1</v>
      </c>
      <c r="L73" s="72">
        <f t="shared" si="33"/>
        <v>0.16187365520928468</v>
      </c>
      <c r="M73" s="73">
        <f t="shared" si="34"/>
        <v>2.8252357243808168E-3</v>
      </c>
      <c r="N73" s="73">
        <f t="shared" si="35"/>
        <v>0.9999960090454425</v>
      </c>
      <c r="O73" s="74">
        <f t="shared" si="36"/>
        <v>3.9909545575718874E-4</v>
      </c>
      <c r="P73" s="75">
        <f t="shared" si="37"/>
        <v>1.0000039909704854</v>
      </c>
      <c r="Q73" s="37">
        <f t="shared" si="38"/>
        <v>0.3000011972911456</v>
      </c>
      <c r="R73" s="43">
        <f t="shared" si="39"/>
        <v>34.10000239458229</v>
      </c>
      <c r="S73" s="76">
        <f t="shared" si="40"/>
        <v>2.8252244489934265E-3</v>
      </c>
      <c r="T73">
        <v>7.8</v>
      </c>
      <c r="U73" s="47">
        <f t="shared" si="41"/>
        <v>248.35087110734261</v>
      </c>
    </row>
    <row r="74" spans="1:21" ht="15" customHeight="1" thickBot="1">
      <c r="A74">
        <v>34</v>
      </c>
      <c r="B74" t="s">
        <v>143</v>
      </c>
      <c r="C74">
        <v>0.3</v>
      </c>
      <c r="D74">
        <v>0.3</v>
      </c>
      <c r="E74" s="37">
        <f t="shared" si="28"/>
        <v>34.299999999999997</v>
      </c>
      <c r="F74">
        <v>0</v>
      </c>
      <c r="G74" s="71">
        <f t="shared" si="29"/>
        <v>1</v>
      </c>
      <c r="H74" s="39">
        <f t="shared" si="30"/>
        <v>0.3</v>
      </c>
      <c r="I74">
        <v>0.3</v>
      </c>
      <c r="J74" s="71">
        <f t="shared" si="31"/>
        <v>0.3</v>
      </c>
      <c r="K74" s="71">
        <f t="shared" si="32"/>
        <v>34.6</v>
      </c>
      <c r="L74" s="72">
        <f t="shared" si="33"/>
        <v>0.15951399321833326</v>
      </c>
      <c r="M74" s="73">
        <f t="shared" si="34"/>
        <v>2.7840515301478606E-3</v>
      </c>
      <c r="N74" s="73">
        <f t="shared" si="35"/>
        <v>0.99999612455106757</v>
      </c>
      <c r="O74" s="74">
        <f t="shared" si="36"/>
        <v>3.875448932507316E-4</v>
      </c>
      <c r="P74" s="75">
        <f t="shared" si="37"/>
        <v>1.0000038754639518</v>
      </c>
      <c r="Q74" s="37">
        <f t="shared" si="38"/>
        <v>0.30000116263918553</v>
      </c>
      <c r="R74" s="43">
        <f t="shared" si="39"/>
        <v>34.600002325278368</v>
      </c>
      <c r="S74" s="76">
        <f t="shared" si="40"/>
        <v>2.7840407406983297E-3</v>
      </c>
      <c r="T74">
        <v>7.8</v>
      </c>
      <c r="U74" s="47">
        <f t="shared" si="41"/>
        <v>252.02464195608178</v>
      </c>
    </row>
    <row r="75" spans="1:21" ht="15" customHeight="1" thickBot="1">
      <c r="A75">
        <v>34.5</v>
      </c>
      <c r="B75" t="s">
        <v>143</v>
      </c>
      <c r="C75">
        <v>0.3</v>
      </c>
      <c r="D75">
        <v>0.3</v>
      </c>
      <c r="E75" s="37">
        <f t="shared" si="28"/>
        <v>34.799999999999997</v>
      </c>
      <c r="F75">
        <v>0</v>
      </c>
      <c r="G75" s="71">
        <f t="shared" si="29"/>
        <v>1</v>
      </c>
      <c r="H75" s="39">
        <f t="shared" si="30"/>
        <v>0.3</v>
      </c>
      <c r="I75">
        <v>0.3</v>
      </c>
      <c r="J75" s="71">
        <f t="shared" si="31"/>
        <v>0.3</v>
      </c>
      <c r="K75" s="71">
        <f t="shared" si="32"/>
        <v>35.1</v>
      </c>
      <c r="L75" s="72">
        <f t="shared" si="33"/>
        <v>0.15722213708835048</v>
      </c>
      <c r="M75" s="73">
        <f t="shared" si="34"/>
        <v>2.7440507897721726E-3</v>
      </c>
      <c r="N75" s="73">
        <f t="shared" si="35"/>
        <v>0.99999623511389324</v>
      </c>
      <c r="O75" s="74">
        <f t="shared" si="36"/>
        <v>3.7648861067607342E-4</v>
      </c>
      <c r="P75" s="75">
        <f t="shared" si="37"/>
        <v>1.0000037649002811</v>
      </c>
      <c r="Q75" s="37">
        <f t="shared" si="38"/>
        <v>0.30000112947008434</v>
      </c>
      <c r="R75" s="43">
        <f t="shared" si="39"/>
        <v>35.100002258940165</v>
      </c>
      <c r="S75" s="76">
        <f t="shared" si="40"/>
        <v>2.744040458733478E-3</v>
      </c>
      <c r="T75">
        <v>7.8</v>
      </c>
      <c r="U75" s="47">
        <f t="shared" si="41"/>
        <v>255.69841364608007</v>
      </c>
    </row>
    <row r="76" spans="1:21" ht="15" customHeight="1" thickBot="1">
      <c r="A76">
        <v>35</v>
      </c>
      <c r="B76" t="s">
        <v>143</v>
      </c>
      <c r="C76">
        <v>0.3</v>
      </c>
      <c r="D76">
        <v>0.3</v>
      </c>
      <c r="E76" s="37">
        <f t="shared" si="28"/>
        <v>35.299999999999997</v>
      </c>
      <c r="F76">
        <v>0</v>
      </c>
      <c r="G76" s="71">
        <f t="shared" si="29"/>
        <v>1</v>
      </c>
      <c r="H76" s="39">
        <f t="shared" si="30"/>
        <v>0.3</v>
      </c>
      <c r="I76">
        <v>0.3</v>
      </c>
      <c r="J76" s="71">
        <f t="shared" si="31"/>
        <v>0.3</v>
      </c>
      <c r="K76" s="71">
        <f t="shared" si="32"/>
        <v>35.6</v>
      </c>
      <c r="L76" s="72">
        <f t="shared" si="33"/>
        <v>0.15499520557918794</v>
      </c>
      <c r="M76" s="73">
        <f t="shared" si="34"/>
        <v>2.7051832148462214E-3</v>
      </c>
      <c r="N76" s="73">
        <f t="shared" si="35"/>
        <v>0.99999634101196944</v>
      </c>
      <c r="O76" s="74">
        <f t="shared" si="36"/>
        <v>3.6589880305267408E-4</v>
      </c>
      <c r="P76" s="75">
        <f t="shared" si="37"/>
        <v>1.0000036590014187</v>
      </c>
      <c r="Q76" s="37">
        <f t="shared" si="38"/>
        <v>0.3000010977004256</v>
      </c>
      <c r="R76" s="43">
        <f t="shared" si="39"/>
        <v>35.600002195400855</v>
      </c>
      <c r="S76" s="76">
        <f t="shared" si="40"/>
        <v>2.7051733166132178E-3</v>
      </c>
      <c r="T76">
        <v>7.8</v>
      </c>
      <c r="U76" s="47">
        <f t="shared" si="41"/>
        <v>259.37218614144018</v>
      </c>
    </row>
    <row r="77" spans="1:21" ht="15" customHeight="1" thickBot="1">
      <c r="A77">
        <v>35.5</v>
      </c>
      <c r="B77" t="s">
        <v>143</v>
      </c>
      <c r="C77">
        <v>0.3</v>
      </c>
      <c r="D77">
        <v>0.3</v>
      </c>
      <c r="E77" s="37">
        <f t="shared" si="28"/>
        <v>35.799999999999997</v>
      </c>
      <c r="F77">
        <v>0</v>
      </c>
      <c r="G77" s="71">
        <f t="shared" si="29"/>
        <v>1</v>
      </c>
      <c r="H77" s="39">
        <f t="shared" si="30"/>
        <v>0.3</v>
      </c>
      <c r="I77">
        <v>0.3</v>
      </c>
      <c r="J77" s="71">
        <f t="shared" si="31"/>
        <v>0.3</v>
      </c>
      <c r="K77" s="71">
        <f t="shared" si="32"/>
        <v>36.1</v>
      </c>
      <c r="L77" s="72">
        <f t="shared" si="33"/>
        <v>0.15283047841186939</v>
      </c>
      <c r="M77" s="73">
        <f t="shared" si="34"/>
        <v>2.6674013263707154E-3</v>
      </c>
      <c r="N77" s="73">
        <f t="shared" si="35"/>
        <v>0.99999644250406583</v>
      </c>
      <c r="O77" s="74">
        <f t="shared" si="36"/>
        <v>3.5574959341329781E-4</v>
      </c>
      <c r="P77" s="75">
        <f t="shared" si="37"/>
        <v>1.0000035575085899</v>
      </c>
      <c r="Q77" s="37">
        <f t="shared" si="38"/>
        <v>0.30000106725257697</v>
      </c>
      <c r="R77" s="43">
        <f t="shared" si="39"/>
        <v>36.100002134505154</v>
      </c>
      <c r="S77" s="76">
        <f t="shared" si="40"/>
        <v>2.6673918371013421E-3</v>
      </c>
      <c r="T77">
        <v>7.8</v>
      </c>
      <c r="U77" s="47">
        <f t="shared" si="41"/>
        <v>263.04595940827818</v>
      </c>
    </row>
    <row r="78" spans="1:21" ht="15" customHeight="1" thickBot="1">
      <c r="A78">
        <v>36</v>
      </c>
      <c r="B78" t="s">
        <v>143</v>
      </c>
      <c r="C78">
        <v>0.3</v>
      </c>
      <c r="D78">
        <v>0.3</v>
      </c>
      <c r="E78" s="37">
        <f t="shared" si="28"/>
        <v>36.299999999999997</v>
      </c>
      <c r="F78">
        <v>0</v>
      </c>
      <c r="G78" s="71">
        <f t="shared" si="29"/>
        <v>1</v>
      </c>
      <c r="H78" s="39">
        <f t="shared" si="30"/>
        <v>0.3</v>
      </c>
      <c r="I78">
        <v>0.3</v>
      </c>
      <c r="J78" s="71">
        <f t="shared" si="31"/>
        <v>0.3</v>
      </c>
      <c r="K78" s="71">
        <f t="shared" si="32"/>
        <v>36.6</v>
      </c>
      <c r="L78" s="72">
        <f t="shared" si="33"/>
        <v>0.15072538518326992</v>
      </c>
      <c r="M78" s="73">
        <f t="shared" si="34"/>
        <v>2.6306602612691907E-3</v>
      </c>
      <c r="N78" s="73">
        <f t="shared" si="35"/>
        <v>0.99999653983125414</v>
      </c>
      <c r="O78" s="74">
        <f t="shared" si="36"/>
        <v>3.4601687457872882E-4</v>
      </c>
      <c r="P78" s="75">
        <f t="shared" si="37"/>
        <v>1.0000034601807186</v>
      </c>
      <c r="Q78" s="37">
        <f t="shared" si="38"/>
        <v>0.30000103805421557</v>
      </c>
      <c r="R78" s="43">
        <f t="shared" si="39"/>
        <v>36.600002076108431</v>
      </c>
      <c r="S78" s="76">
        <f t="shared" si="40"/>
        <v>2.6306511587407739E-3</v>
      </c>
      <c r="T78">
        <v>7.8</v>
      </c>
      <c r="U78" s="47">
        <f t="shared" si="41"/>
        <v>266.71973341458465</v>
      </c>
    </row>
    <row r="79" spans="1:21" ht="15" customHeight="1" thickBot="1">
      <c r="A79">
        <v>36.5</v>
      </c>
      <c r="B79" t="s">
        <v>143</v>
      </c>
      <c r="C79">
        <v>0.3</v>
      </c>
      <c r="D79">
        <v>0.3</v>
      </c>
      <c r="E79" s="37">
        <f t="shared" si="28"/>
        <v>36.799999999999997</v>
      </c>
      <c r="F79">
        <v>0</v>
      </c>
      <c r="G79" s="71">
        <f t="shared" si="29"/>
        <v>1</v>
      </c>
      <c r="H79" s="39">
        <f t="shared" si="30"/>
        <v>0.3</v>
      </c>
      <c r="I79">
        <v>0.3</v>
      </c>
      <c r="J79" s="71">
        <f t="shared" si="31"/>
        <v>0.3</v>
      </c>
      <c r="K79" s="71">
        <f t="shared" si="32"/>
        <v>37.1</v>
      </c>
      <c r="L79" s="72">
        <f t="shared" si="33"/>
        <v>0.14867749518447432</v>
      </c>
      <c r="M79" s="73">
        <f t="shared" si="34"/>
        <v>2.5949175946758593E-3</v>
      </c>
      <c r="N79" s="73">
        <f t="shared" si="35"/>
        <v>0.99999663321834131</v>
      </c>
      <c r="O79" s="74">
        <f t="shared" si="36"/>
        <v>3.3667816586498611E-4</v>
      </c>
      <c r="P79" s="75">
        <f t="shared" si="37"/>
        <v>1.000003366792994</v>
      </c>
      <c r="Q79" s="37">
        <f t="shared" si="38"/>
        <v>0.3000010100378982</v>
      </c>
      <c r="R79" s="43">
        <f t="shared" si="39"/>
        <v>37.100002020075799</v>
      </c>
      <c r="S79" s="76">
        <f t="shared" si="40"/>
        <v>2.5949088581548956E-3</v>
      </c>
      <c r="T79">
        <v>7.8</v>
      </c>
      <c r="U79" s="47">
        <f t="shared" si="41"/>
        <v>270.39350813009708</v>
      </c>
    </row>
    <row r="80" spans="1:21" ht="15" customHeight="1" thickBot="1">
      <c r="A80">
        <v>37</v>
      </c>
      <c r="B80" t="s">
        <v>143</v>
      </c>
      <c r="C80">
        <v>0.3</v>
      </c>
      <c r="D80">
        <v>0.3</v>
      </c>
      <c r="E80" s="37">
        <f t="shared" si="28"/>
        <v>37.299999999999997</v>
      </c>
      <c r="F80">
        <v>0</v>
      </c>
      <c r="G80" s="71">
        <f t="shared" si="29"/>
        <v>1</v>
      </c>
      <c r="H80" s="39">
        <f t="shared" si="30"/>
        <v>0.3</v>
      </c>
      <c r="I80">
        <v>0.3</v>
      </c>
      <c r="J80" s="71">
        <f t="shared" si="31"/>
        <v>0.3</v>
      </c>
      <c r="K80" s="71">
        <f t="shared" si="32"/>
        <v>37.6</v>
      </c>
      <c r="L80" s="72">
        <f t="shared" si="33"/>
        <v>0.14668450803802166</v>
      </c>
      <c r="M80" s="73">
        <f t="shared" si="34"/>
        <v>2.560133176516665E-3</v>
      </c>
      <c r="N80" s="73">
        <f t="shared" si="35"/>
        <v>0.99999672287516861</v>
      </c>
      <c r="O80" s="74">
        <f t="shared" si="36"/>
        <v>3.2771248313171836E-4</v>
      </c>
      <c r="P80" s="75">
        <f t="shared" si="37"/>
        <v>1.0000032771355709</v>
      </c>
      <c r="Q80" s="37">
        <f t="shared" si="38"/>
        <v>0.30000098314067125</v>
      </c>
      <c r="R80" s="43">
        <f t="shared" si="39"/>
        <v>37.60000196628134</v>
      </c>
      <c r="S80" s="76">
        <f t="shared" si="40"/>
        <v>2.5601247866406606E-3</v>
      </c>
      <c r="T80">
        <v>7.8</v>
      </c>
      <c r="U80" s="47">
        <f t="shared" si="41"/>
        <v>274.0672835261816</v>
      </c>
    </row>
    <row r="81" spans="1:21" ht="15" customHeight="1" thickBot="1">
      <c r="A81">
        <v>37.5</v>
      </c>
      <c r="B81" t="s">
        <v>143</v>
      </c>
      <c r="C81">
        <v>0.3</v>
      </c>
      <c r="D81">
        <v>0.3</v>
      </c>
      <c r="E81" s="37">
        <f t="shared" si="28"/>
        <v>37.799999999999997</v>
      </c>
      <c r="F81">
        <v>0</v>
      </c>
      <c r="G81" s="71">
        <f t="shared" si="29"/>
        <v>1</v>
      </c>
      <c r="H81" s="39">
        <f t="shared" si="30"/>
        <v>0.3</v>
      </c>
      <c r="I81">
        <v>0.3</v>
      </c>
      <c r="J81" s="71">
        <f t="shared" si="31"/>
        <v>0.3</v>
      </c>
      <c r="K81" s="71">
        <f t="shared" si="32"/>
        <v>38.1</v>
      </c>
      <c r="L81" s="72">
        <f t="shared" si="33"/>
        <v>0.14474424507821396</v>
      </c>
      <c r="M81" s="73">
        <f t="shared" si="34"/>
        <v>2.5262689810600955E-3</v>
      </c>
      <c r="N81" s="73">
        <f t="shared" si="35"/>
        <v>0.99999680899779142</v>
      </c>
      <c r="O81" s="74">
        <f t="shared" si="36"/>
        <v>3.1910022085801515E-4</v>
      </c>
      <c r="P81" s="75">
        <f t="shared" si="37"/>
        <v>1.0000031910123912</v>
      </c>
      <c r="Q81" s="37">
        <f t="shared" si="38"/>
        <v>0.30000095730371734</v>
      </c>
      <c r="R81" s="43">
        <f t="shared" si="39"/>
        <v>38.100001914607432</v>
      </c>
      <c r="S81" s="76">
        <f t="shared" si="40"/>
        <v>2.5262609197301976E-3</v>
      </c>
      <c r="T81">
        <v>7.8</v>
      </c>
      <c r="U81" s="47">
        <f t="shared" si="41"/>
        <v>277.74105957572573</v>
      </c>
    </row>
    <row r="82" spans="1:21" ht="15" customHeight="1" thickBot="1">
      <c r="A82">
        <v>38</v>
      </c>
      <c r="B82" t="s">
        <v>143</v>
      </c>
      <c r="C82">
        <v>0.3</v>
      </c>
      <c r="D82">
        <v>0.3</v>
      </c>
      <c r="E82" s="37">
        <f t="shared" si="28"/>
        <v>38.299999999999997</v>
      </c>
      <c r="F82">
        <v>0</v>
      </c>
      <c r="G82" s="71">
        <f t="shared" si="29"/>
        <v>1</v>
      </c>
      <c r="H82" s="39">
        <f t="shared" si="30"/>
        <v>0.3</v>
      </c>
      <c r="I82">
        <v>0.3</v>
      </c>
      <c r="J82" s="71">
        <f t="shared" si="31"/>
        <v>0.3</v>
      </c>
      <c r="K82" s="71">
        <f t="shared" si="32"/>
        <v>38.6</v>
      </c>
      <c r="L82" s="72">
        <f t="shared" si="33"/>
        <v>0.14285464140658613</v>
      </c>
      <c r="M82" s="73">
        <f t="shared" si="34"/>
        <v>2.4932889682525226E-3</v>
      </c>
      <c r="N82" s="73">
        <f t="shared" si="35"/>
        <v>0.99999689176955209</v>
      </c>
      <c r="O82" s="74">
        <f t="shared" si="36"/>
        <v>3.1082304478384043E-4</v>
      </c>
      <c r="P82" s="75">
        <f t="shared" si="37"/>
        <v>1.0000031082401091</v>
      </c>
      <c r="Q82" s="37">
        <f t="shared" si="38"/>
        <v>0.30000093247203269</v>
      </c>
      <c r="R82" s="43">
        <f t="shared" si="39"/>
        <v>38.600001864944062</v>
      </c>
      <c r="S82" s="76">
        <f t="shared" si="40"/>
        <v>2.4932812185358365E-3</v>
      </c>
      <c r="T82">
        <v>7.8</v>
      </c>
      <c r="U82" s="47">
        <f t="shared" si="41"/>
        <v>281.41483625303783</v>
      </c>
    </row>
    <row r="83" spans="1:21" ht="15" customHeight="1" thickBot="1">
      <c r="A83">
        <v>38.5</v>
      </c>
      <c r="B83" t="s">
        <v>143</v>
      </c>
      <c r="C83">
        <v>0.3</v>
      </c>
      <c r="D83">
        <v>0.3</v>
      </c>
      <c r="E83" s="37">
        <f t="shared" si="28"/>
        <v>38.799999999999997</v>
      </c>
      <c r="F83">
        <v>0</v>
      </c>
      <c r="G83" s="71">
        <f t="shared" si="29"/>
        <v>1</v>
      </c>
      <c r="H83" s="39">
        <f t="shared" si="30"/>
        <v>0.3</v>
      </c>
      <c r="I83">
        <v>0.3</v>
      </c>
      <c r="J83" s="71">
        <f t="shared" si="31"/>
        <v>0.3</v>
      </c>
      <c r="K83" s="71">
        <f t="shared" si="32"/>
        <v>39.1</v>
      </c>
      <c r="L83" s="72">
        <f t="shared" si="33"/>
        <v>0.14101373856163493</v>
      </c>
      <c r="M83" s="73">
        <f t="shared" si="34"/>
        <v>2.4611589557750418E-3</v>
      </c>
      <c r="N83" s="73">
        <f t="shared" si="35"/>
        <v>0.99999697136205623</v>
      </c>
      <c r="O83" s="74">
        <f t="shared" si="36"/>
        <v>3.0286379437693967E-4</v>
      </c>
      <c r="P83" s="75">
        <f t="shared" si="37"/>
        <v>1.0000030286471164</v>
      </c>
      <c r="Q83" s="37">
        <f t="shared" si="38"/>
        <v>0.30000090859413492</v>
      </c>
      <c r="R83" s="43">
        <f t="shared" si="39"/>
        <v>39.100001817188272</v>
      </c>
      <c r="S83" s="76">
        <f t="shared" si="40"/>
        <v>2.4611515018156428E-3</v>
      </c>
      <c r="T83">
        <v>7.8</v>
      </c>
      <c r="U83" s="47">
        <f t="shared" si="41"/>
        <v>285.08861353375585</v>
      </c>
    </row>
    <row r="84" spans="1:21" ht="15" customHeight="1" thickBot="1">
      <c r="A84">
        <v>39</v>
      </c>
      <c r="B84" t="s">
        <v>143</v>
      </c>
      <c r="C84">
        <v>0.3</v>
      </c>
      <c r="D84">
        <v>0.3</v>
      </c>
      <c r="E84" s="37">
        <f t="shared" si="28"/>
        <v>39.299999999999997</v>
      </c>
      <c r="F84">
        <v>0</v>
      </c>
      <c r="G84" s="71">
        <f t="shared" si="29"/>
        <v>1</v>
      </c>
      <c r="H84" s="39">
        <f t="shared" si="30"/>
        <v>0.3</v>
      </c>
      <c r="I84">
        <v>0.3</v>
      </c>
      <c r="J84" s="71">
        <f t="shared" si="31"/>
        <v>0.3</v>
      </c>
      <c r="K84" s="71">
        <f t="shared" si="32"/>
        <v>39.6</v>
      </c>
      <c r="L84" s="72">
        <f t="shared" si="33"/>
        <v>0.13921967774810257</v>
      </c>
      <c r="M84" s="73">
        <f t="shared" si="34"/>
        <v>2.4298465008669623E-3</v>
      </c>
      <c r="N84" s="73">
        <f t="shared" si="35"/>
        <v>0.99999704793606314</v>
      </c>
      <c r="O84" s="74">
        <f t="shared" si="36"/>
        <v>2.9520639368193124E-4</v>
      </c>
      <c r="P84" s="75">
        <f t="shared" si="37"/>
        <v>1.0000029520726517</v>
      </c>
      <c r="Q84" s="37">
        <f t="shared" si="38"/>
        <v>0.3000008856217955</v>
      </c>
      <c r="R84" s="43">
        <f t="shared" si="39"/>
        <v>39.600001771243591</v>
      </c>
      <c r="S84" s="76">
        <f t="shared" si="40"/>
        <v>2.4298393278047357E-3</v>
      </c>
      <c r="T84">
        <v>7.8</v>
      </c>
      <c r="U84" s="47">
        <f t="shared" si="41"/>
        <v>288.76239139476223</v>
      </c>
    </row>
    <row r="85" spans="1:21" ht="15" customHeight="1" thickBot="1">
      <c r="A85">
        <v>39.5</v>
      </c>
      <c r="B85" t="s">
        <v>143</v>
      </c>
      <c r="C85">
        <v>0.3</v>
      </c>
      <c r="D85">
        <v>0.3</v>
      </c>
      <c r="E85" s="37">
        <f t="shared" si="28"/>
        <v>39.799999999999997</v>
      </c>
      <c r="F85">
        <v>0</v>
      </c>
      <c r="G85" s="71">
        <f t="shared" si="29"/>
        <v>1</v>
      </c>
      <c r="H85" s="39">
        <f t="shared" si="30"/>
        <v>0.3</v>
      </c>
      <c r="I85">
        <v>0.3</v>
      </c>
      <c r="J85" s="71">
        <f t="shared" si="31"/>
        <v>0.3</v>
      </c>
      <c r="K85" s="71">
        <f t="shared" si="32"/>
        <v>40.1</v>
      </c>
      <c r="L85" s="72">
        <f t="shared" si="33"/>
        <v>0.13747069357660846</v>
      </c>
      <c r="M85" s="73">
        <f t="shared" si="34"/>
        <v>2.3993207910570757E-3</v>
      </c>
      <c r="N85" s="73">
        <f t="shared" si="35"/>
        <v>0.99999712164229826</v>
      </c>
      <c r="O85" s="74">
        <f t="shared" si="36"/>
        <v>2.8783577018150674E-4</v>
      </c>
      <c r="P85" s="75">
        <f t="shared" si="37"/>
        <v>1.0000028783659867</v>
      </c>
      <c r="Q85" s="37">
        <f t="shared" si="38"/>
        <v>0.30000086350979599</v>
      </c>
      <c r="R85" s="43">
        <f t="shared" si="39"/>
        <v>40.100001727019595</v>
      </c>
      <c r="S85" s="76">
        <f t="shared" si="40"/>
        <v>2.399313884953598E-3</v>
      </c>
      <c r="T85">
        <v>7.8</v>
      </c>
      <c r="U85" s="47">
        <f t="shared" si="41"/>
        <v>292.43616981410503</v>
      </c>
    </row>
    <row r="86" spans="1:21" ht="15" customHeight="1" thickBot="1">
      <c r="A86">
        <v>40</v>
      </c>
      <c r="B86" t="s">
        <v>143</v>
      </c>
      <c r="C86">
        <v>0.3</v>
      </c>
      <c r="D86">
        <v>0.3</v>
      </c>
      <c r="E86" s="37">
        <f t="shared" si="28"/>
        <v>40.299999999999997</v>
      </c>
      <c r="F86">
        <v>0</v>
      </c>
      <c r="G86" s="71">
        <f t="shared" si="29"/>
        <v>1</v>
      </c>
      <c r="H86" s="39">
        <f t="shared" si="30"/>
        <v>0.3</v>
      </c>
      <c r="I86">
        <v>0.3</v>
      </c>
      <c r="J86" s="71">
        <f t="shared" si="31"/>
        <v>0.3</v>
      </c>
      <c r="K86" s="71">
        <f t="shared" si="32"/>
        <v>40.6</v>
      </c>
      <c r="L86" s="72">
        <f t="shared" si="33"/>
        <v>0.13576510826930729</v>
      </c>
      <c r="M86" s="73">
        <f t="shared" si="34"/>
        <v>2.3695525430290723E-3</v>
      </c>
      <c r="N86" s="73">
        <f t="shared" si="35"/>
        <v>0.999997192622195</v>
      </c>
      <c r="O86" s="74">
        <f t="shared" si="36"/>
        <v>2.8073778050400716E-4</v>
      </c>
      <c r="P86" s="75">
        <f t="shared" si="37"/>
        <v>1.0000028073856864</v>
      </c>
      <c r="Q86" s="37">
        <f t="shared" si="38"/>
        <v>0.30000084221570589</v>
      </c>
      <c r="R86" s="43">
        <f t="shared" si="39"/>
        <v>40.600001684431412</v>
      </c>
      <c r="S86" s="76">
        <f t="shared" si="40"/>
        <v>2.3695458907998547E-3</v>
      </c>
      <c r="T86">
        <v>7.8</v>
      </c>
      <c r="U86" s="47">
        <f t="shared" si="41"/>
        <v>296.10994877092639</v>
      </c>
    </row>
    <row r="87" spans="1:21" ht="15" customHeight="1" thickBot="1">
      <c r="A87">
        <v>40.5</v>
      </c>
      <c r="B87" t="s">
        <v>143</v>
      </c>
      <c r="C87">
        <v>0.3</v>
      </c>
      <c r="D87">
        <v>0.3</v>
      </c>
      <c r="E87" s="37">
        <f t="shared" si="28"/>
        <v>40.799999999999997</v>
      </c>
      <c r="F87">
        <v>0</v>
      </c>
      <c r="G87" s="71">
        <f t="shared" si="29"/>
        <v>1</v>
      </c>
      <c r="H87" s="39">
        <f t="shared" si="30"/>
        <v>0.3</v>
      </c>
      <c r="I87">
        <v>0.3</v>
      </c>
      <c r="J87" s="71">
        <f t="shared" si="31"/>
        <v>0.3</v>
      </c>
      <c r="K87" s="71">
        <f t="shared" si="32"/>
        <v>41.1</v>
      </c>
      <c r="L87" s="72">
        <f t="shared" si="33"/>
        <v>0.1341013262915958</v>
      </c>
      <c r="M87" s="73">
        <f t="shared" si="34"/>
        <v>2.340513908923324E-3</v>
      </c>
      <c r="N87" s="73">
        <f t="shared" si="35"/>
        <v>0.99999726100857422</v>
      </c>
      <c r="O87" s="74">
        <f t="shared" si="36"/>
        <v>2.738991425702923E-4</v>
      </c>
      <c r="P87" s="75">
        <f t="shared" si="37"/>
        <v>1.0000027389989279</v>
      </c>
      <c r="Q87" s="37">
        <f t="shared" si="38"/>
        <v>0.30000082169967834</v>
      </c>
      <c r="R87" s="43">
        <f t="shared" si="39"/>
        <v>41.100001643399359</v>
      </c>
      <c r="S87" s="76">
        <f t="shared" si="40"/>
        <v>2.340507498275796E-3</v>
      </c>
      <c r="T87">
        <v>7.8</v>
      </c>
      <c r="U87" s="47">
        <f t="shared" si="41"/>
        <v>299.78372824539406</v>
      </c>
    </row>
    <row r="88" spans="1:21" ht="15" customHeight="1" thickBot="1">
      <c r="A88">
        <v>41</v>
      </c>
      <c r="B88" t="s">
        <v>143</v>
      </c>
      <c r="C88">
        <v>0.3</v>
      </c>
      <c r="D88">
        <v>0.3</v>
      </c>
      <c r="E88" s="37">
        <f t="shared" si="28"/>
        <v>41.3</v>
      </c>
      <c r="F88">
        <v>0</v>
      </c>
      <c r="G88" s="71">
        <f t="shared" si="29"/>
        <v>1</v>
      </c>
      <c r="H88" s="39">
        <f t="shared" si="30"/>
        <v>0.3</v>
      </c>
      <c r="I88">
        <v>0.3</v>
      </c>
      <c r="J88" s="71">
        <f t="shared" si="31"/>
        <v>0.3</v>
      </c>
      <c r="K88" s="71">
        <f t="shared" si="32"/>
        <v>41.6</v>
      </c>
      <c r="L88" s="72">
        <f t="shared" si="33"/>
        <v>0.13247782937376304</v>
      </c>
      <c r="M88" s="73">
        <f t="shared" si="34"/>
        <v>2.3121783894448334E-3</v>
      </c>
      <c r="N88" s="73">
        <f t="shared" si="35"/>
        <v>0.99999732692626575</v>
      </c>
      <c r="O88" s="74">
        <f t="shared" si="36"/>
        <v>2.6730737342125133E-4</v>
      </c>
      <c r="P88" s="75">
        <f t="shared" si="37"/>
        <v>1.0000026730808795</v>
      </c>
      <c r="Q88" s="37">
        <f t="shared" si="38"/>
        <v>0.30000080192426387</v>
      </c>
      <c r="R88" s="43">
        <f t="shared" si="39"/>
        <v>41.600001603848526</v>
      </c>
      <c r="S88" s="76">
        <f t="shared" si="40"/>
        <v>2.3121722088215117E-3</v>
      </c>
      <c r="T88">
        <v>7.8</v>
      </c>
      <c r="U88" s="47">
        <f t="shared" si="41"/>
        <v>303.45750821863976</v>
      </c>
    </row>
    <row r="89" spans="1:21" ht="15" customHeight="1" thickBot="1">
      <c r="A89">
        <v>41.5</v>
      </c>
      <c r="B89" t="s">
        <v>143</v>
      </c>
      <c r="C89">
        <v>0.3</v>
      </c>
      <c r="D89">
        <v>0.3</v>
      </c>
      <c r="E89" s="37">
        <f t="shared" si="28"/>
        <v>41.8</v>
      </c>
      <c r="F89">
        <v>0</v>
      </c>
      <c r="G89" s="71">
        <f t="shared" si="29"/>
        <v>1</v>
      </c>
      <c r="H89" s="39">
        <f t="shared" si="30"/>
        <v>0.29999999999999993</v>
      </c>
      <c r="I89">
        <v>0.3</v>
      </c>
      <c r="J89" s="71">
        <f t="shared" si="31"/>
        <v>0.3</v>
      </c>
      <c r="K89" s="71">
        <f t="shared" si="32"/>
        <v>42.1</v>
      </c>
      <c r="L89" s="72">
        <f t="shared" si="33"/>
        <v>0.13089317188993441</v>
      </c>
      <c r="M89" s="73">
        <f t="shared" si="34"/>
        <v>2.2845207532074547E-3</v>
      </c>
      <c r="N89" s="73">
        <f t="shared" si="35"/>
        <v>0.99999739049267844</v>
      </c>
      <c r="O89" s="74">
        <f t="shared" si="36"/>
        <v>2.6095073215233933E-4</v>
      </c>
      <c r="P89" s="75">
        <f t="shared" si="37"/>
        <v>1.000002609514131</v>
      </c>
      <c r="Q89" s="37">
        <f t="shared" si="38"/>
        <v>0.30000078285423931</v>
      </c>
      <c r="R89" s="43">
        <f t="shared" si="39"/>
        <v>42.100001565708482</v>
      </c>
      <c r="S89" s="76">
        <f t="shared" si="40"/>
        <v>2.2845147917338227E-3</v>
      </c>
      <c r="T89">
        <v>7.8</v>
      </c>
      <c r="U89" s="47">
        <f t="shared" si="41"/>
        <v>307.13128867270132</v>
      </c>
    </row>
    <row r="90" spans="1:21" ht="15" customHeight="1" thickBot="1">
      <c r="A90">
        <v>42</v>
      </c>
      <c r="B90" t="s">
        <v>143</v>
      </c>
      <c r="C90">
        <v>0.3</v>
      </c>
      <c r="D90">
        <v>0.3</v>
      </c>
      <c r="E90" s="37">
        <f t="shared" si="28"/>
        <v>42.3</v>
      </c>
      <c r="F90">
        <v>0</v>
      </c>
      <c r="G90" s="71">
        <f t="shared" si="29"/>
        <v>1</v>
      </c>
      <c r="H90" s="39">
        <f t="shared" si="30"/>
        <v>0.3</v>
      </c>
      <c r="I90">
        <v>0.3</v>
      </c>
      <c r="J90" s="71">
        <f t="shared" si="31"/>
        <v>0.3</v>
      </c>
      <c r="K90" s="71">
        <f t="shared" si="32"/>
        <v>42.6</v>
      </c>
      <c r="L90" s="72">
        <f t="shared" si="33"/>
        <v>0.1293459765647457</v>
      </c>
      <c r="M90" s="73">
        <f t="shared" si="34"/>
        <v>2.2575169617983833E-3</v>
      </c>
      <c r="N90" s="73">
        <f t="shared" si="35"/>
        <v>0.99999745181832345</v>
      </c>
      <c r="O90" s="74">
        <f t="shared" si="36"/>
        <v>2.5481816765908033E-4</v>
      </c>
      <c r="P90" s="75">
        <f t="shared" si="37"/>
        <v>1.0000025481881698</v>
      </c>
      <c r="Q90" s="37">
        <f t="shared" si="38"/>
        <v>0.30000076445645091</v>
      </c>
      <c r="R90" s="43">
        <f t="shared" si="39"/>
        <v>42.600001528912905</v>
      </c>
      <c r="S90" s="76">
        <f t="shared" si="40"/>
        <v>2.2575112092350267E-3</v>
      </c>
      <c r="T90">
        <v>7.8</v>
      </c>
      <c r="U90" s="47">
        <f t="shared" si="41"/>
        <v>310.80506959046869</v>
      </c>
    </row>
    <row r="91" spans="1:21" ht="15" customHeight="1" thickBot="1">
      <c r="A91">
        <v>42.5</v>
      </c>
      <c r="B91" t="s">
        <v>143</v>
      </c>
      <c r="C91">
        <v>0.3</v>
      </c>
      <c r="D91">
        <v>0.3</v>
      </c>
      <c r="E91" s="37">
        <f t="shared" si="28"/>
        <v>42.8</v>
      </c>
      <c r="F91">
        <v>0</v>
      </c>
      <c r="G91" s="71">
        <f t="shared" si="29"/>
        <v>1</v>
      </c>
      <c r="H91" s="39">
        <f t="shared" si="30"/>
        <v>0.3</v>
      </c>
      <c r="I91">
        <v>0.3</v>
      </c>
      <c r="J91" s="71">
        <f t="shared" si="31"/>
        <v>0.3</v>
      </c>
      <c r="K91" s="71">
        <f t="shared" si="32"/>
        <v>43.1</v>
      </c>
      <c r="L91" s="72">
        <f t="shared" si="33"/>
        <v>0.1278349304809476</v>
      </c>
      <c r="M91" s="73">
        <f t="shared" si="34"/>
        <v>2.2311441000951314E-3</v>
      </c>
      <c r="N91" s="73">
        <f t="shared" si="35"/>
        <v>0.99999751100729495</v>
      </c>
      <c r="O91" s="74">
        <f t="shared" si="36"/>
        <v>2.4889927050889921E-4</v>
      </c>
      <c r="P91" s="75">
        <f t="shared" si="37"/>
        <v>1.0000024889989001</v>
      </c>
      <c r="Q91" s="37">
        <f t="shared" si="38"/>
        <v>0.30000074669967003</v>
      </c>
      <c r="R91" s="43">
        <f t="shared" si="39"/>
        <v>43.10000149339934</v>
      </c>
      <c r="S91" s="76">
        <f t="shared" si="40"/>
        <v>2.2311385467937428E-3</v>
      </c>
      <c r="T91">
        <v>7.8</v>
      </c>
      <c r="U91" s="47">
        <f t="shared" si="41"/>
        <v>314.47885095563407</v>
      </c>
    </row>
    <row r="92" spans="1:21" ht="15" customHeight="1" thickBot="1">
      <c r="A92">
        <v>43</v>
      </c>
      <c r="B92" t="s">
        <v>143</v>
      </c>
      <c r="C92">
        <v>0.3</v>
      </c>
      <c r="D92">
        <v>0.3</v>
      </c>
      <c r="E92" s="37">
        <f t="shared" si="28"/>
        <v>43.3</v>
      </c>
      <c r="F92">
        <v>0</v>
      </c>
      <c r="G92" s="71">
        <f t="shared" si="29"/>
        <v>1</v>
      </c>
      <c r="H92" s="39">
        <f t="shared" si="30"/>
        <v>0.3</v>
      </c>
      <c r="I92">
        <v>0.3</v>
      </c>
      <c r="J92" s="71">
        <f t="shared" si="31"/>
        <v>0.3</v>
      </c>
      <c r="K92" s="71">
        <f t="shared" si="32"/>
        <v>43.6</v>
      </c>
      <c r="L92" s="72">
        <f t="shared" si="33"/>
        <v>0.1263587813636165</v>
      </c>
      <c r="M92" s="73">
        <f t="shared" si="34"/>
        <v>2.2053803114104298E-3</v>
      </c>
      <c r="N92" s="73">
        <f t="shared" si="35"/>
        <v>0.99999756815771179</v>
      </c>
      <c r="O92" s="74">
        <f t="shared" si="36"/>
        <v>2.4318422882826005E-4</v>
      </c>
      <c r="P92" s="75">
        <f t="shared" si="37"/>
        <v>1.0000024318482021</v>
      </c>
      <c r="Q92" s="37">
        <f t="shared" si="38"/>
        <v>0.30000072955446061</v>
      </c>
      <c r="R92" s="43">
        <f t="shared" si="39"/>
        <v>43.600001459108924</v>
      </c>
      <c r="S92" s="76">
        <f t="shared" si="40"/>
        <v>2.205374948273327E-3</v>
      </c>
      <c r="T92">
        <v>7.8</v>
      </c>
      <c r="U92" s="47">
        <f t="shared" si="41"/>
        <v>318.15263275264573</v>
      </c>
    </row>
    <row r="93" spans="1:21" ht="15" customHeight="1" thickBot="1">
      <c r="A93">
        <v>43.5</v>
      </c>
      <c r="B93" t="s">
        <v>143</v>
      </c>
      <c r="C93">
        <v>0.3</v>
      </c>
      <c r="D93">
        <v>0.3</v>
      </c>
      <c r="E93" s="37">
        <f t="shared" si="28"/>
        <v>43.8</v>
      </c>
      <c r="F93">
        <v>0</v>
      </c>
      <c r="G93" s="71">
        <f t="shared" si="29"/>
        <v>1</v>
      </c>
      <c r="H93" s="39">
        <f t="shared" si="30"/>
        <v>0.3</v>
      </c>
      <c r="I93">
        <v>0.3</v>
      </c>
      <c r="J93" s="71">
        <f t="shared" si="31"/>
        <v>0.3</v>
      </c>
      <c r="K93" s="71">
        <f t="shared" si="32"/>
        <v>44.1</v>
      </c>
      <c r="L93" s="72">
        <f t="shared" si="33"/>
        <v>0.1249163341188686</v>
      </c>
      <c r="M93" s="73">
        <f t="shared" si="34"/>
        <v>2.1802047370792607E-3</v>
      </c>
      <c r="N93" s="73">
        <f t="shared" si="35"/>
        <v>0.99999762336212483</v>
      </c>
      <c r="O93" s="74">
        <f t="shared" si="36"/>
        <v>2.3766378752047385E-4</v>
      </c>
      <c r="P93" s="75">
        <f t="shared" si="37"/>
        <v>1.0000023766435235</v>
      </c>
      <c r="Q93" s="37">
        <f t="shared" si="38"/>
        <v>0.30000071299305703</v>
      </c>
      <c r="R93" s="43">
        <f t="shared" si="39"/>
        <v>44.100001425986115</v>
      </c>
      <c r="S93" s="76">
        <f t="shared" si="40"/>
        <v>2.1801995555221069E-3</v>
      </c>
      <c r="T93">
        <v>7.8</v>
      </c>
      <c r="U93" s="47">
        <f t="shared" si="41"/>
        <v>321.82641496666395</v>
      </c>
    </row>
    <row r="94" spans="1:21" ht="15" customHeight="1" thickBot="1">
      <c r="A94">
        <v>44</v>
      </c>
      <c r="B94" t="s">
        <v>143</v>
      </c>
      <c r="C94">
        <v>0.3</v>
      </c>
      <c r="D94">
        <v>0.3</v>
      </c>
      <c r="E94" s="37">
        <f t="shared" si="28"/>
        <v>44.3</v>
      </c>
      <c r="F94">
        <v>0</v>
      </c>
      <c r="G94" s="71">
        <f t="shared" si="29"/>
        <v>1</v>
      </c>
      <c r="H94" s="39">
        <f t="shared" si="30"/>
        <v>0.3</v>
      </c>
      <c r="I94">
        <v>0.3</v>
      </c>
      <c r="J94" s="71">
        <f t="shared" si="31"/>
        <v>0.3</v>
      </c>
      <c r="K94" s="71">
        <f t="shared" si="32"/>
        <v>44.6</v>
      </c>
      <c r="L94" s="72">
        <f t="shared" si="33"/>
        <v>0.12350644760696952</v>
      </c>
      <c r="M94" s="73">
        <f t="shared" si="34"/>
        <v>2.1555974601370569E-3</v>
      </c>
      <c r="N94" s="73">
        <f t="shared" si="35"/>
        <v>0.99999767670789153</v>
      </c>
      <c r="O94" s="74">
        <f t="shared" si="36"/>
        <v>2.3232921085118247E-4</v>
      </c>
      <c r="P94" s="75">
        <f t="shared" si="37"/>
        <v>1.0000023232975062</v>
      </c>
      <c r="Q94" s="37">
        <f t="shared" si="38"/>
        <v>0.30000069698925186</v>
      </c>
      <c r="R94" s="43">
        <f t="shared" si="39"/>
        <v>44.600001393978502</v>
      </c>
      <c r="S94" s="76">
        <f t="shared" si="40"/>
        <v>2.1555924520544885E-3</v>
      </c>
      <c r="T94">
        <v>7.8</v>
      </c>
      <c r="U94" s="47">
        <f t="shared" si="41"/>
        <v>325.50019758352204</v>
      </c>
    </row>
    <row r="95" spans="1:21" ht="15" customHeight="1" thickBot="1">
      <c r="A95">
        <v>44.5</v>
      </c>
      <c r="B95" t="s">
        <v>143</v>
      </c>
      <c r="C95">
        <v>0.3</v>
      </c>
      <c r="D95">
        <v>0.3</v>
      </c>
      <c r="E95" s="37">
        <f t="shared" si="28"/>
        <v>44.8</v>
      </c>
      <c r="F95">
        <v>0</v>
      </c>
      <c r="G95" s="71">
        <f t="shared" si="29"/>
        <v>1</v>
      </c>
      <c r="H95" s="39">
        <f t="shared" si="30"/>
        <v>0.3</v>
      </c>
      <c r="I95">
        <v>0.3</v>
      </c>
      <c r="J95" s="71">
        <f t="shared" si="31"/>
        <v>0.3</v>
      </c>
      <c r="K95" s="71">
        <f t="shared" si="32"/>
        <v>45.1</v>
      </c>
      <c r="L95" s="72">
        <f t="shared" si="33"/>
        <v>0.12212803163152838</v>
      </c>
      <c r="M95" s="73">
        <f t="shared" si="34"/>
        <v>2.131539452769456E-3</v>
      </c>
      <c r="N95" s="73">
        <f t="shared" si="35"/>
        <v>0.99999772827752176</v>
      </c>
      <c r="O95" s="74">
        <f t="shared" si="36"/>
        <v>2.2717224782790407E-4</v>
      </c>
      <c r="P95" s="75">
        <f t="shared" si="37"/>
        <v>1.0000022717276391</v>
      </c>
      <c r="Q95" s="37">
        <f t="shared" si="38"/>
        <v>0.30000068151829173</v>
      </c>
      <c r="R95" s="43">
        <f t="shared" si="39"/>
        <v>45.100001363036583</v>
      </c>
      <c r="S95" s="76">
        <f t="shared" si="40"/>
        <v>2.1315346105033679E-3</v>
      </c>
      <c r="T95">
        <v>7.8</v>
      </c>
      <c r="U95" s="47">
        <f t="shared" si="41"/>
        <v>329.17398058968706</v>
      </c>
    </row>
    <row r="96" spans="1:21" ht="15" customHeight="1" thickBot="1">
      <c r="A96">
        <v>45</v>
      </c>
      <c r="B96" t="s">
        <v>143</v>
      </c>
      <c r="C96">
        <v>0.3</v>
      </c>
      <c r="D96">
        <v>0.3</v>
      </c>
      <c r="E96" s="37">
        <f t="shared" si="28"/>
        <v>45.3</v>
      </c>
      <c r="F96">
        <v>0</v>
      </c>
      <c r="G96" s="71">
        <f t="shared" si="29"/>
        <v>1</v>
      </c>
      <c r="H96" s="39">
        <f t="shared" si="30"/>
        <v>0.3</v>
      </c>
      <c r="I96">
        <v>0.3</v>
      </c>
      <c r="J96" s="71">
        <f t="shared" si="31"/>
        <v>0.3</v>
      </c>
      <c r="K96" s="71">
        <f t="shared" si="32"/>
        <v>45.6</v>
      </c>
      <c r="L96" s="72">
        <f t="shared" si="33"/>
        <v>0.12078004412808062</v>
      </c>
      <c r="M96" s="73">
        <f t="shared" si="34"/>
        <v>2.1080125272421989E-3</v>
      </c>
      <c r="N96" s="73">
        <f t="shared" si="35"/>
        <v>0.99999777814899748</v>
      </c>
      <c r="O96" s="74">
        <f t="shared" si="36"/>
        <v>2.221851002441137E-4</v>
      </c>
      <c r="P96" s="75">
        <f t="shared" si="37"/>
        <v>1.000002221855939</v>
      </c>
      <c r="Q96" s="37">
        <f t="shared" si="38"/>
        <v>0.3000006665567817</v>
      </c>
      <c r="R96" s="43">
        <f t="shared" si="39"/>
        <v>45.600001333113561</v>
      </c>
      <c r="S96" s="76">
        <f t="shared" si="40"/>
        <v>2.1080078435524517E-3</v>
      </c>
      <c r="T96">
        <v>7.8</v>
      </c>
      <c r="U96" s="47">
        <f t="shared" si="41"/>
        <v>332.84776397222555</v>
      </c>
    </row>
    <row r="97" spans="1:21" ht="15" customHeight="1" thickBot="1">
      <c r="A97">
        <v>45.5</v>
      </c>
      <c r="B97" t="s">
        <v>143</v>
      </c>
      <c r="C97">
        <v>0.3</v>
      </c>
      <c r="D97">
        <v>0.3</v>
      </c>
      <c r="E97" s="37">
        <f t="shared" si="28"/>
        <v>45.8</v>
      </c>
      <c r="F97">
        <v>0</v>
      </c>
      <c r="G97" s="71">
        <f t="shared" si="29"/>
        <v>1</v>
      </c>
      <c r="H97" s="39">
        <f t="shared" si="30"/>
        <v>0.3</v>
      </c>
      <c r="I97">
        <v>0.3</v>
      </c>
      <c r="J97" s="71">
        <f t="shared" si="31"/>
        <v>0.3</v>
      </c>
      <c r="K97" s="71">
        <f t="shared" si="32"/>
        <v>46.1</v>
      </c>
      <c r="L97" s="72">
        <f t="shared" si="33"/>
        <v>0.11946148853682308</v>
      </c>
      <c r="M97" s="73">
        <f t="shared" si="34"/>
        <v>2.0849992900452315E-3</v>
      </c>
      <c r="N97" s="73">
        <f t="shared" si="35"/>
        <v>0.99999782639606716</v>
      </c>
      <c r="O97" s="74">
        <f t="shared" si="36"/>
        <v>2.1736039327683682E-4</v>
      </c>
      <c r="P97" s="75">
        <f t="shared" si="37"/>
        <v>1.0000021736086573</v>
      </c>
      <c r="Q97" s="37">
        <f t="shared" si="38"/>
        <v>0.30000065208259719</v>
      </c>
      <c r="R97" s="43">
        <f t="shared" si="39"/>
        <v>46.100001304165197</v>
      </c>
      <c r="S97" s="76">
        <f t="shared" si="40"/>
        <v>2.0849947580825747E-3</v>
      </c>
      <c r="T97">
        <v>7.8</v>
      </c>
      <c r="U97" s="47">
        <f t="shared" si="41"/>
        <v>336.52154771877133</v>
      </c>
    </row>
    <row r="98" spans="1:21" ht="15" customHeight="1" thickBot="1">
      <c r="A98">
        <v>46</v>
      </c>
      <c r="B98" t="s">
        <v>143</v>
      </c>
      <c r="C98">
        <v>0.3</v>
      </c>
      <c r="D98">
        <v>0.3</v>
      </c>
      <c r="E98" s="37">
        <f t="shared" si="28"/>
        <v>46.3</v>
      </c>
      <c r="F98">
        <v>0</v>
      </c>
      <c r="G98" s="71">
        <f t="shared" si="29"/>
        <v>1</v>
      </c>
      <c r="H98" s="39">
        <f t="shared" si="30"/>
        <v>0.29999999999999993</v>
      </c>
      <c r="I98">
        <v>0.3</v>
      </c>
      <c r="J98" s="71">
        <f t="shared" si="31"/>
        <v>0.3</v>
      </c>
      <c r="K98" s="71">
        <f t="shared" si="32"/>
        <v>46.6</v>
      </c>
      <c r="L98" s="72">
        <f t="shared" si="33"/>
        <v>0.11817141134558022</v>
      </c>
      <c r="M98" s="73">
        <f t="shared" si="34"/>
        <v>2.0624830990080261E-3</v>
      </c>
      <c r="N98" s="73">
        <f t="shared" si="35"/>
        <v>0.99999787308851884</v>
      </c>
      <c r="O98" s="74">
        <f t="shared" si="36"/>
        <v>2.1269114811965178E-4</v>
      </c>
      <c r="P98" s="75">
        <f t="shared" si="37"/>
        <v>1.0000021269160049</v>
      </c>
      <c r="Q98" s="37">
        <f t="shared" si="38"/>
        <v>0.30000063807480143</v>
      </c>
      <c r="R98" s="43">
        <f t="shared" si="39"/>
        <v>46.600001276149605</v>
      </c>
      <c r="S98" s="76">
        <f t="shared" si="40"/>
        <v>2.0624787122890433E-3</v>
      </c>
      <c r="T98">
        <v>7.8</v>
      </c>
      <c r="U98" s="47">
        <f t="shared" si="41"/>
        <v>340.19533181749358</v>
      </c>
    </row>
    <row r="99" spans="1:21" ht="15" customHeight="1" thickBot="1">
      <c r="A99">
        <v>46.5</v>
      </c>
      <c r="B99" t="s">
        <v>143</v>
      </c>
      <c r="C99">
        <v>0.3</v>
      </c>
      <c r="D99">
        <v>0.3</v>
      </c>
      <c r="E99" s="37">
        <f t="shared" si="28"/>
        <v>46.8</v>
      </c>
      <c r="F99">
        <v>0</v>
      </c>
      <c r="G99" s="71">
        <f t="shared" si="29"/>
        <v>1</v>
      </c>
      <c r="H99" s="39">
        <f t="shared" si="30"/>
        <v>0.3</v>
      </c>
      <c r="I99">
        <v>0.3</v>
      </c>
      <c r="J99" s="71">
        <f t="shared" si="31"/>
        <v>0.3</v>
      </c>
      <c r="K99" s="71">
        <f t="shared" si="32"/>
        <v>47.1</v>
      </c>
      <c r="L99" s="72">
        <f t="shared" si="33"/>
        <v>0.11690889979027103</v>
      </c>
      <c r="M99" s="73">
        <f t="shared" si="34"/>
        <v>2.0404480231639233E-3</v>
      </c>
      <c r="N99" s="73">
        <f t="shared" si="35"/>
        <v>0.99999791829243267</v>
      </c>
      <c r="O99" s="74">
        <f t="shared" si="36"/>
        <v>2.0817075672511603E-4</v>
      </c>
      <c r="P99" s="75">
        <f t="shared" si="37"/>
        <v>1.0000020817119006</v>
      </c>
      <c r="Q99" s="37">
        <f t="shared" si="38"/>
        <v>0.30000062451357018</v>
      </c>
      <c r="R99" s="43">
        <f t="shared" si="39"/>
        <v>47.100001249027137</v>
      </c>
      <c r="S99" s="76">
        <f t="shared" si="40"/>
        <v>2.0404437755478328E-3</v>
      </c>
      <c r="T99">
        <v>7.8</v>
      </c>
      <c r="U99" s="47">
        <f t="shared" si="41"/>
        <v>343.86911625706853</v>
      </c>
    </row>
    <row r="100" spans="1:21" ht="15" customHeight="1" thickBot="1">
      <c r="A100">
        <v>47</v>
      </c>
      <c r="B100" t="s">
        <v>143</v>
      </c>
      <c r="C100">
        <v>0.3</v>
      </c>
      <c r="D100">
        <v>0.3</v>
      </c>
      <c r="E100" s="37">
        <f t="shared" si="28"/>
        <v>47.3</v>
      </c>
      <c r="F100">
        <v>0</v>
      </c>
      <c r="G100" s="71">
        <f t="shared" si="29"/>
        <v>1</v>
      </c>
      <c r="H100" s="39">
        <f t="shared" si="30"/>
        <v>0.3</v>
      </c>
      <c r="I100">
        <v>0.3</v>
      </c>
      <c r="J100" s="71">
        <f t="shared" si="31"/>
        <v>0.3</v>
      </c>
      <c r="K100" s="71">
        <f t="shared" si="32"/>
        <v>47.6</v>
      </c>
      <c r="L100" s="72">
        <f t="shared" si="33"/>
        <v>0.11567307970122237</v>
      </c>
      <c r="M100" s="73">
        <f t="shared" si="34"/>
        <v>2.0188788051600766E-3</v>
      </c>
      <c r="N100" s="73">
        <f t="shared" si="35"/>
        <v>0.9999979620704148</v>
      </c>
      <c r="O100" s="74">
        <f t="shared" si="36"/>
        <v>2.0379295852708998E-4</v>
      </c>
      <c r="P100" s="75">
        <f t="shared" si="37"/>
        <v>1.0000020379337384</v>
      </c>
      <c r="Q100" s="37">
        <f t="shared" si="38"/>
        <v>0.30000061138012152</v>
      </c>
      <c r="R100" s="43">
        <f t="shared" si="39"/>
        <v>47.600001222760241</v>
      </c>
      <c r="S100" s="76">
        <f t="shared" si="40"/>
        <v>2.0188746908272309E-3</v>
      </c>
      <c r="T100">
        <v>7.8</v>
      </c>
      <c r="U100" s="47">
        <f t="shared" si="41"/>
        <v>347.54290102665345</v>
      </c>
    </row>
    <row r="101" spans="1:21" ht="15" customHeight="1" thickBot="1">
      <c r="A101">
        <v>47.5</v>
      </c>
      <c r="B101" t="s">
        <v>143</v>
      </c>
      <c r="C101">
        <v>0.3</v>
      </c>
      <c r="D101">
        <v>0.3</v>
      </c>
      <c r="E101" s="37">
        <f t="shared" si="28"/>
        <v>47.8</v>
      </c>
      <c r="F101">
        <v>0</v>
      </c>
      <c r="G101" s="71">
        <f t="shared" si="29"/>
        <v>1</v>
      </c>
      <c r="H101" s="39">
        <f t="shared" si="30"/>
        <v>0.3</v>
      </c>
      <c r="I101">
        <v>0.3</v>
      </c>
      <c r="J101" s="71">
        <f t="shared" si="31"/>
        <v>0.3</v>
      </c>
      <c r="K101" s="71">
        <f t="shared" si="32"/>
        <v>48.1</v>
      </c>
      <c r="L101" s="72">
        <f t="shared" si="33"/>
        <v>0.11446311348464948</v>
      </c>
      <c r="M101" s="73">
        <f t="shared" si="34"/>
        <v>1.9977608260266029E-3</v>
      </c>
      <c r="N101" s="73">
        <f t="shared" si="35"/>
        <v>0.9999980044818142</v>
      </c>
      <c r="O101" s="74">
        <f t="shared" si="36"/>
        <v>1.9955181858784718E-4</v>
      </c>
      <c r="P101" s="75">
        <f t="shared" si="37"/>
        <v>1.000001995522168</v>
      </c>
      <c r="Q101" s="37">
        <f t="shared" si="38"/>
        <v>0.30000059865665035</v>
      </c>
      <c r="R101" s="43">
        <f t="shared" si="39"/>
        <v>48.100001197313304</v>
      </c>
      <c r="S101" s="76">
        <f t="shared" si="40"/>
        <v>1.9977568394585433E-3</v>
      </c>
      <c r="T101">
        <v>7.8</v>
      </c>
      <c r="U101" s="47">
        <f t="shared" si="41"/>
        <v>351.21668611585966</v>
      </c>
    </row>
    <row r="102" spans="1:21" ht="15" customHeight="1" thickBot="1">
      <c r="A102">
        <v>48</v>
      </c>
      <c r="B102" t="s">
        <v>143</v>
      </c>
      <c r="C102">
        <v>0.3</v>
      </c>
      <c r="D102">
        <v>0.3</v>
      </c>
      <c r="E102" s="37">
        <f t="shared" si="28"/>
        <v>48.3</v>
      </c>
      <c r="F102">
        <v>0</v>
      </c>
      <c r="G102" s="71">
        <f t="shared" si="29"/>
        <v>1</v>
      </c>
      <c r="H102" s="39">
        <f t="shared" si="30"/>
        <v>0.3</v>
      </c>
      <c r="I102">
        <v>0.3</v>
      </c>
      <c r="J102" s="71">
        <f t="shared" si="31"/>
        <v>0.3</v>
      </c>
      <c r="K102" s="71">
        <f t="shared" si="32"/>
        <v>48.6</v>
      </c>
      <c r="L102" s="72">
        <f t="shared" si="33"/>
        <v>0.11327819822950927</v>
      </c>
      <c r="M102" s="73">
        <f t="shared" si="34"/>
        <v>1.9770800721339876E-3</v>
      </c>
      <c r="N102" s="73">
        <f t="shared" si="35"/>
        <v>0.99999804558292382</v>
      </c>
      <c r="O102" s="74">
        <f t="shared" si="36"/>
        <v>1.9544170761405985E-4</v>
      </c>
      <c r="P102" s="75">
        <f t="shared" si="37"/>
        <v>1.000001954420896</v>
      </c>
      <c r="Q102" s="37">
        <f t="shared" si="38"/>
        <v>0.3000005863262688</v>
      </c>
      <c r="R102" s="43">
        <f t="shared" si="39"/>
        <v>48.60000117265254</v>
      </c>
      <c r="S102" s="76">
        <f t="shared" si="40"/>
        <v>1.9770762080949336E-3</v>
      </c>
      <c r="T102">
        <v>7.8</v>
      </c>
      <c r="U102" s="47">
        <f t="shared" si="41"/>
        <v>354.89047151473073</v>
      </c>
    </row>
    <row r="103" spans="1:21" ht="15" customHeight="1" thickBot="1">
      <c r="A103">
        <v>48.5</v>
      </c>
      <c r="B103" t="s">
        <v>143</v>
      </c>
      <c r="C103">
        <v>0.3</v>
      </c>
      <c r="D103">
        <v>0.3</v>
      </c>
      <c r="E103" s="37">
        <f t="shared" si="28"/>
        <v>48.8</v>
      </c>
      <c r="F103">
        <v>0</v>
      </c>
      <c r="G103" s="71">
        <f t="shared" si="29"/>
        <v>1</v>
      </c>
      <c r="H103" s="39">
        <f t="shared" si="30"/>
        <v>0.3</v>
      </c>
      <c r="I103">
        <v>0.3</v>
      </c>
      <c r="J103" s="71">
        <f t="shared" si="31"/>
        <v>0.3</v>
      </c>
      <c r="K103" s="71">
        <f t="shared" si="32"/>
        <v>49.1</v>
      </c>
      <c r="L103" s="72">
        <f t="shared" si="33"/>
        <v>0.11211756393073458</v>
      </c>
      <c r="M103" s="73">
        <f t="shared" si="34"/>
        <v>1.9568231041817955E-3</v>
      </c>
      <c r="N103" s="73">
        <f t="shared" si="35"/>
        <v>0.99999808542716784</v>
      </c>
      <c r="O103" s="74">
        <f t="shared" si="36"/>
        <v>1.914572832125335E-4</v>
      </c>
      <c r="P103" s="75">
        <f t="shared" si="37"/>
        <v>1.0000019145764976</v>
      </c>
      <c r="Q103" s="37">
        <f t="shared" si="38"/>
        <v>0.30000057437294925</v>
      </c>
      <c r="R103" s="43">
        <f t="shared" si="39"/>
        <v>49.100001148745896</v>
      </c>
      <c r="S103" s="76">
        <f t="shared" si="40"/>
        <v>1.956819357701443E-3</v>
      </c>
      <c r="T103">
        <v>7.8</v>
      </c>
      <c r="U103" s="47">
        <f t="shared" si="41"/>
        <v>358.56425721371909</v>
      </c>
    </row>
    <row r="104" spans="1:21" ht="15" customHeight="1" thickBot="1">
      <c r="A104">
        <v>49</v>
      </c>
      <c r="B104" t="s">
        <v>143</v>
      </c>
      <c r="C104">
        <v>0.3</v>
      </c>
      <c r="D104">
        <v>0.3</v>
      </c>
      <c r="E104" s="37">
        <f t="shared" ref="E104:E135" si="42">A104+J104</f>
        <v>49.3</v>
      </c>
      <c r="F104">
        <v>0</v>
      </c>
      <c r="G104" s="71">
        <f t="shared" ref="G104:G135" si="43">100/(100-F104)</f>
        <v>1</v>
      </c>
      <c r="H104" s="39">
        <f t="shared" ref="H104:H135" si="44">3.1415926*E104*M104</f>
        <v>0.3</v>
      </c>
      <c r="I104">
        <v>0.3</v>
      </c>
      <c r="J104" s="71">
        <f t="shared" ref="J104:J135" si="45">G104*C104</f>
        <v>0.3</v>
      </c>
      <c r="K104" s="71">
        <f t="shared" ref="K104:K135" si="46">A104+2*J104</f>
        <v>49.6</v>
      </c>
      <c r="L104" s="72">
        <f t="shared" ref="L104:L135" si="47">ATAN(I104/(3.1415926*(A104+J104)))*180/3.1415926</f>
        <v>0.11098047182058676</v>
      </c>
      <c r="M104" s="73">
        <f t="shared" ref="M104:M135" si="48">I104/(3.1415926*(A104+J104))</f>
        <v>1.9369770280744749E-3</v>
      </c>
      <c r="N104" s="73">
        <f t="shared" ref="N104:N135" si="49">COS(L104*3.1415926/180)</f>
        <v>0.99999812406527511</v>
      </c>
      <c r="O104" s="74">
        <f t="shared" ref="O104:O135" si="50">(D104-I104*N104)/D104*100</f>
        <v>1.8759347249671285E-4</v>
      </c>
      <c r="P104" s="75">
        <f t="shared" ref="P104:P135" si="51">100/(100-O104)</f>
        <v>1.0000018759382441</v>
      </c>
      <c r="Q104" s="37">
        <f t="shared" ref="Q104:Q135" si="52">P104*C104</f>
        <v>0.30000056278147319</v>
      </c>
      <c r="R104" s="43">
        <f t="shared" ref="R104:R135" si="53">A104+2*Q104</f>
        <v>49.600001125562947</v>
      </c>
      <c r="S104" s="76">
        <f t="shared" ref="S104:S135" si="54">SIN(L104*3.1415926/180)</f>
        <v>1.9369733944320066E-3</v>
      </c>
      <c r="T104">
        <v>7.8</v>
      </c>
      <c r="U104" s="47">
        <f t="shared" ref="U104:U135" si="55">3.14*(A104+Q104)*Q104*T104*P104</f>
        <v>362.23804320366622</v>
      </c>
    </row>
    <row r="105" spans="1:21" ht="15" customHeight="1" thickBot="1">
      <c r="A105">
        <v>49.5</v>
      </c>
      <c r="B105" t="s">
        <v>143</v>
      </c>
      <c r="C105">
        <v>0.3</v>
      </c>
      <c r="D105">
        <v>0.3</v>
      </c>
      <c r="E105" s="37">
        <f t="shared" si="42"/>
        <v>49.8</v>
      </c>
      <c r="F105">
        <v>0</v>
      </c>
      <c r="G105" s="71">
        <f t="shared" si="43"/>
        <v>1</v>
      </c>
      <c r="H105" s="39">
        <f t="shared" si="44"/>
        <v>0.3</v>
      </c>
      <c r="I105">
        <v>0.3</v>
      </c>
      <c r="J105" s="71">
        <f t="shared" si="45"/>
        <v>0.3</v>
      </c>
      <c r="K105" s="71">
        <f t="shared" si="46"/>
        <v>50.1</v>
      </c>
      <c r="L105" s="72">
        <f t="shared" si="47"/>
        <v>0.10986621280052881</v>
      </c>
      <c r="M105" s="73">
        <f t="shared" si="48"/>
        <v>1.917529467551639E-3</v>
      </c>
      <c r="N105" s="73">
        <f t="shared" si="49"/>
        <v>0.99999816154544041</v>
      </c>
      <c r="O105" s="74">
        <f t="shared" si="50"/>
        <v>1.8384545595144058E-4</v>
      </c>
      <c r="P105" s="75">
        <f t="shared" si="51"/>
        <v>1.0000018384579394</v>
      </c>
      <c r="Q105" s="37">
        <f t="shared" si="52"/>
        <v>0.30000055153738181</v>
      </c>
      <c r="R105" s="43">
        <f t="shared" si="53"/>
        <v>50.10000110307476</v>
      </c>
      <c r="S105" s="76">
        <f t="shared" si="54"/>
        <v>1.9175259422608464E-3</v>
      </c>
      <c r="T105">
        <v>7.8</v>
      </c>
      <c r="U105" s="47">
        <f t="shared" si="55"/>
        <v>365.91182947578181</v>
      </c>
    </row>
    <row r="106" spans="1:21" ht="15" customHeight="1" thickBot="1">
      <c r="A106">
        <v>50</v>
      </c>
      <c r="B106" t="s">
        <v>143</v>
      </c>
      <c r="C106">
        <v>0.3</v>
      </c>
      <c r="D106">
        <v>0.3</v>
      </c>
      <c r="E106" s="37">
        <f t="shared" si="42"/>
        <v>50.3</v>
      </c>
      <c r="F106">
        <v>0</v>
      </c>
      <c r="G106" s="71">
        <f t="shared" si="43"/>
        <v>1</v>
      </c>
      <c r="H106" s="39">
        <f t="shared" si="44"/>
        <v>0.3</v>
      </c>
      <c r="I106">
        <v>0.3</v>
      </c>
      <c r="J106" s="71">
        <f t="shared" si="45"/>
        <v>0.3</v>
      </c>
      <c r="K106" s="71">
        <f t="shared" si="46"/>
        <v>50.6</v>
      </c>
      <c r="L106" s="72">
        <f t="shared" si="47"/>
        <v>0.10877410596662364</v>
      </c>
      <c r="M106" s="73">
        <f t="shared" si="48"/>
        <v>1.898468538450728E-3</v>
      </c>
      <c r="N106" s="73">
        <f t="shared" si="49"/>
        <v>0.99999819791347555</v>
      </c>
      <c r="O106" s="74">
        <f t="shared" si="50"/>
        <v>1.8020865244494644E-4</v>
      </c>
      <c r="P106" s="75">
        <f t="shared" si="51"/>
        <v>1.0000018020897719</v>
      </c>
      <c r="Q106" s="37">
        <f t="shared" si="52"/>
        <v>0.30000054062693154</v>
      </c>
      <c r="R106" s="43">
        <f t="shared" si="53"/>
        <v>50.600001081253865</v>
      </c>
      <c r="S106" s="76">
        <f t="shared" si="54"/>
        <v>1.8984651172461579E-3</v>
      </c>
      <c r="T106">
        <v>7.8</v>
      </c>
      <c r="U106" s="47">
        <f t="shared" si="55"/>
        <v>369.58561602162661</v>
      </c>
    </row>
    <row r="107" spans="1:21" ht="15" customHeight="1" thickBot="1">
      <c r="A107">
        <v>50.5</v>
      </c>
      <c r="B107" t="s">
        <v>143</v>
      </c>
      <c r="C107">
        <v>0.3</v>
      </c>
      <c r="D107">
        <v>0.3</v>
      </c>
      <c r="E107" s="37">
        <f t="shared" si="42"/>
        <v>50.8</v>
      </c>
      <c r="F107">
        <v>0</v>
      </c>
      <c r="G107" s="71">
        <f t="shared" si="43"/>
        <v>1</v>
      </c>
      <c r="H107" s="39">
        <f t="shared" si="44"/>
        <v>0.3</v>
      </c>
      <c r="I107">
        <v>0.3</v>
      </c>
      <c r="J107" s="71">
        <f t="shared" si="45"/>
        <v>0.3</v>
      </c>
      <c r="K107" s="71">
        <f t="shared" si="46"/>
        <v>51.1</v>
      </c>
      <c r="L107" s="72">
        <f t="shared" si="47"/>
        <v>0.10770349722201475</v>
      </c>
      <c r="M107" s="73">
        <f t="shared" si="48"/>
        <v>1.8797828244895988E-3</v>
      </c>
      <c r="N107" s="73">
        <f t="shared" si="49"/>
        <v>0.99999823321294867</v>
      </c>
      <c r="O107" s="74">
        <f t="shared" si="50"/>
        <v>1.7667870512901493E-4</v>
      </c>
      <c r="P107" s="75">
        <f t="shared" si="51"/>
        <v>1.0000017667901728</v>
      </c>
      <c r="Q107" s="37">
        <f t="shared" si="52"/>
        <v>0.30000053003705185</v>
      </c>
      <c r="R107" s="43">
        <f t="shared" si="53"/>
        <v>51.100001060074106</v>
      </c>
      <c r="S107" s="76">
        <f t="shared" si="54"/>
        <v>1.8797795033136451E-3</v>
      </c>
      <c r="T107">
        <v>7.8</v>
      </c>
      <c r="U107" s="47">
        <f t="shared" si="55"/>
        <v>373.2594028330945</v>
      </c>
    </row>
    <row r="108" spans="1:21" ht="15" customHeight="1" thickBot="1">
      <c r="A108">
        <v>51</v>
      </c>
      <c r="B108" t="s">
        <v>143</v>
      </c>
      <c r="C108">
        <v>0.3</v>
      </c>
      <c r="D108">
        <v>0.3</v>
      </c>
      <c r="E108" s="37">
        <f t="shared" si="42"/>
        <v>51.3</v>
      </c>
      <c r="F108">
        <v>0</v>
      </c>
      <c r="G108" s="71">
        <f t="shared" si="43"/>
        <v>1</v>
      </c>
      <c r="H108" s="39">
        <f t="shared" si="44"/>
        <v>0.3</v>
      </c>
      <c r="I108">
        <v>0.3</v>
      </c>
      <c r="J108" s="71">
        <f t="shared" si="45"/>
        <v>0.3</v>
      </c>
      <c r="K108" s="71">
        <f t="shared" si="46"/>
        <v>51.6</v>
      </c>
      <c r="L108" s="72">
        <f t="shared" si="47"/>
        <v>0.10665375797054752</v>
      </c>
      <c r="M108" s="73">
        <f t="shared" si="48"/>
        <v>1.8614613544653336E-3</v>
      </c>
      <c r="N108" s="73">
        <f t="shared" si="49"/>
        <v>0.99999826748531528</v>
      </c>
      <c r="O108" s="74">
        <f t="shared" si="50"/>
        <v>1.732514684678795E-4</v>
      </c>
      <c r="P108" s="75">
        <f t="shared" si="51"/>
        <v>1.0000017325176862</v>
      </c>
      <c r="Q108" s="37">
        <f t="shared" si="52"/>
        <v>0.30000051975530584</v>
      </c>
      <c r="R108" s="43">
        <f t="shared" si="53"/>
        <v>51.600001039510609</v>
      </c>
      <c r="S108" s="76">
        <f t="shared" si="54"/>
        <v>1.8614581294562019E-3</v>
      </c>
      <c r="T108">
        <v>7.8</v>
      </c>
      <c r="U108" s="47">
        <f t="shared" si="55"/>
        <v>376.9331899023959</v>
      </c>
    </row>
    <row r="109" spans="1:21" ht="15" customHeight="1" thickBot="1">
      <c r="A109">
        <v>51.5</v>
      </c>
      <c r="B109" t="s">
        <v>143</v>
      </c>
      <c r="C109">
        <v>0.3</v>
      </c>
      <c r="D109">
        <v>0.3</v>
      </c>
      <c r="E109" s="37">
        <f t="shared" si="42"/>
        <v>51.8</v>
      </c>
      <c r="F109">
        <v>0</v>
      </c>
      <c r="G109" s="71">
        <f t="shared" si="43"/>
        <v>1</v>
      </c>
      <c r="H109" s="39">
        <f t="shared" si="44"/>
        <v>0.3</v>
      </c>
      <c r="I109">
        <v>0.3</v>
      </c>
      <c r="J109" s="71">
        <f t="shared" si="45"/>
        <v>0.3</v>
      </c>
      <c r="K109" s="71">
        <f t="shared" si="46"/>
        <v>52.1</v>
      </c>
      <c r="L109" s="72">
        <f t="shared" si="47"/>
        <v>0.10562428388604891</v>
      </c>
      <c r="M109" s="73">
        <f t="shared" si="48"/>
        <v>1.8434935807735832E-3</v>
      </c>
      <c r="N109" s="73">
        <f t="shared" si="49"/>
        <v>0.99999830077003993</v>
      </c>
      <c r="O109" s="74">
        <f t="shared" si="50"/>
        <v>1.6992299600726568E-4</v>
      </c>
      <c r="P109" s="75">
        <f t="shared" si="51"/>
        <v>1.0000016992328475</v>
      </c>
      <c r="Q109" s="37">
        <f t="shared" si="52"/>
        <v>0.30000050976985426</v>
      </c>
      <c r="R109" s="43">
        <f t="shared" si="53"/>
        <v>52.100001019539711</v>
      </c>
      <c r="S109" s="76">
        <f t="shared" si="54"/>
        <v>1.8434904482540597E-3</v>
      </c>
      <c r="T109">
        <v>7.8</v>
      </c>
      <c r="U109" s="47">
        <f t="shared" si="55"/>
        <v>380.6069772220435</v>
      </c>
    </row>
    <row r="110" spans="1:21" ht="15" customHeight="1" thickBot="1">
      <c r="A110">
        <v>52</v>
      </c>
      <c r="B110" t="s">
        <v>143</v>
      </c>
      <c r="C110">
        <v>0.3</v>
      </c>
      <c r="D110">
        <v>0.3</v>
      </c>
      <c r="E110" s="37">
        <f t="shared" si="42"/>
        <v>52.3</v>
      </c>
      <c r="F110">
        <v>0</v>
      </c>
      <c r="G110" s="71">
        <f t="shared" si="43"/>
        <v>1</v>
      </c>
      <c r="H110" s="39">
        <f t="shared" si="44"/>
        <v>0.3</v>
      </c>
      <c r="I110">
        <v>0.3</v>
      </c>
      <c r="J110" s="71">
        <f t="shared" si="45"/>
        <v>0.3</v>
      </c>
      <c r="K110" s="71">
        <f t="shared" si="46"/>
        <v>52.6</v>
      </c>
      <c r="L110" s="72">
        <f t="shared" si="47"/>
        <v>0.10461449375220248</v>
      </c>
      <c r="M110" s="73">
        <f t="shared" si="48"/>
        <v>1.8258693591600692E-3</v>
      </c>
      <c r="N110" s="73">
        <f t="shared" si="49"/>
        <v>0.99999833310470942</v>
      </c>
      <c r="O110" s="74">
        <f t="shared" si="50"/>
        <v>1.6668952905011619E-4</v>
      </c>
      <c r="P110" s="75">
        <f t="shared" si="51"/>
        <v>1.0000016668980691</v>
      </c>
      <c r="Q110" s="37">
        <f t="shared" si="52"/>
        <v>0.30000050006942075</v>
      </c>
      <c r="R110" s="43">
        <f t="shared" si="53"/>
        <v>52.600001000138839</v>
      </c>
      <c r="S110" s="76">
        <f t="shared" si="54"/>
        <v>1.8258663156270336E-3</v>
      </c>
      <c r="T110">
        <v>7.8</v>
      </c>
      <c r="U110" s="47">
        <f t="shared" si="55"/>
        <v>384.28076478483655</v>
      </c>
    </row>
    <row r="111" spans="1:21" ht="15" customHeight="1" thickBot="1">
      <c r="A111">
        <v>52.5</v>
      </c>
      <c r="B111" t="s">
        <v>143</v>
      </c>
      <c r="C111">
        <v>0.3</v>
      </c>
      <c r="D111">
        <v>0.3</v>
      </c>
      <c r="E111" s="37">
        <f t="shared" si="42"/>
        <v>52.8</v>
      </c>
      <c r="F111">
        <v>0</v>
      </c>
      <c r="G111" s="71">
        <f t="shared" si="43"/>
        <v>1</v>
      </c>
      <c r="H111" s="39">
        <f t="shared" si="44"/>
        <v>0.3</v>
      </c>
      <c r="I111">
        <v>0.3</v>
      </c>
      <c r="J111" s="71">
        <f t="shared" si="45"/>
        <v>0.3</v>
      </c>
      <c r="K111" s="71">
        <f t="shared" si="46"/>
        <v>53.1</v>
      </c>
      <c r="L111" s="72">
        <f t="shared" si="47"/>
        <v>0.10362382836833889</v>
      </c>
      <c r="M111" s="73">
        <f t="shared" si="48"/>
        <v>1.8085789296225683E-3</v>
      </c>
      <c r="N111" s="73">
        <f t="shared" si="49"/>
        <v>0.99999836452513979</v>
      </c>
      <c r="O111" s="74">
        <f t="shared" si="50"/>
        <v>1.6354748601695354E-4</v>
      </c>
      <c r="P111" s="75">
        <f t="shared" si="51"/>
        <v>1.000001635477535</v>
      </c>
      <c r="Q111" s="37">
        <f t="shared" si="52"/>
        <v>0.30000049064326045</v>
      </c>
      <c r="R111" s="43">
        <f t="shared" si="53"/>
        <v>53.10000098128652</v>
      </c>
      <c r="S111" s="76">
        <f t="shared" si="54"/>
        <v>1.8085759717371966E-3</v>
      </c>
      <c r="T111">
        <v>7.8</v>
      </c>
      <c r="U111" s="47">
        <f t="shared" si="55"/>
        <v>387.95455258384794</v>
      </c>
    </row>
    <row r="112" spans="1:21" ht="15" customHeight="1" thickBot="1">
      <c r="A112">
        <v>53</v>
      </c>
      <c r="B112" t="s">
        <v>143</v>
      </c>
      <c r="C112">
        <v>0.3</v>
      </c>
      <c r="D112">
        <v>0.3</v>
      </c>
      <c r="E112" s="37">
        <f t="shared" si="42"/>
        <v>53.3</v>
      </c>
      <c r="F112">
        <v>0</v>
      </c>
      <c r="G112" s="71">
        <f t="shared" si="43"/>
        <v>1</v>
      </c>
      <c r="H112" s="39">
        <f t="shared" si="44"/>
        <v>0.3</v>
      </c>
      <c r="I112">
        <v>0.3</v>
      </c>
      <c r="J112" s="71">
        <f t="shared" si="45"/>
        <v>0.3</v>
      </c>
      <c r="K112" s="71">
        <f t="shared" si="46"/>
        <v>53.6</v>
      </c>
      <c r="L112" s="72">
        <f t="shared" si="47"/>
        <v>0.10265174951681406</v>
      </c>
      <c r="M112" s="73">
        <f t="shared" si="48"/>
        <v>1.7916128983878352E-3</v>
      </c>
      <c r="N112" s="73">
        <f t="shared" si="49"/>
        <v>0.99999839506547494</v>
      </c>
      <c r="O112" s="74">
        <f t="shared" si="50"/>
        <v>1.6049345250938413E-4</v>
      </c>
      <c r="P112" s="75">
        <f t="shared" si="51"/>
        <v>1.000001604937101</v>
      </c>
      <c r="Q112" s="37">
        <f t="shared" si="52"/>
        <v>0.30000048148113029</v>
      </c>
      <c r="R112" s="43">
        <f t="shared" si="53"/>
        <v>53.600000962962262</v>
      </c>
      <c r="S112" s="76">
        <f t="shared" si="54"/>
        <v>1.791610022966439E-3</v>
      </c>
      <c r="T112">
        <v>7.8</v>
      </c>
      <c r="U112" s="47">
        <f t="shared" si="55"/>
        <v>391.62834061241171</v>
      </c>
    </row>
    <row r="113" spans="1:21" ht="15" customHeight="1" thickBot="1">
      <c r="A113">
        <v>53.5</v>
      </c>
      <c r="B113" t="s">
        <v>143</v>
      </c>
      <c r="C113">
        <v>0.3</v>
      </c>
      <c r="D113">
        <v>0.3</v>
      </c>
      <c r="E113" s="37">
        <f t="shared" si="42"/>
        <v>53.8</v>
      </c>
      <c r="F113">
        <v>0</v>
      </c>
      <c r="G113" s="71">
        <f t="shared" si="43"/>
        <v>1</v>
      </c>
      <c r="H113" s="39">
        <f t="shared" si="44"/>
        <v>0.3</v>
      </c>
      <c r="I113">
        <v>0.3</v>
      </c>
      <c r="J113" s="71">
        <f t="shared" si="45"/>
        <v>0.3</v>
      </c>
      <c r="K113" s="71">
        <f t="shared" si="46"/>
        <v>54.1</v>
      </c>
      <c r="L113" s="72">
        <f t="shared" si="47"/>
        <v>0.10169773898796765</v>
      </c>
      <c r="M113" s="73">
        <f t="shared" si="48"/>
        <v>1.7749622208935243E-3</v>
      </c>
      <c r="N113" s="73">
        <f t="shared" si="49"/>
        <v>0.99999842475827927</v>
      </c>
      <c r="O113" s="74">
        <f t="shared" si="50"/>
        <v>1.5752417207674324E-4</v>
      </c>
      <c r="P113" s="75">
        <f t="shared" si="51"/>
        <v>1.0000015752442022</v>
      </c>
      <c r="Q113" s="37">
        <f t="shared" si="52"/>
        <v>0.30000047257326062</v>
      </c>
      <c r="R113" s="43">
        <f t="shared" si="53"/>
        <v>54.100000945146519</v>
      </c>
      <c r="S113" s="76">
        <f t="shared" si="54"/>
        <v>1.7749594248989814E-3</v>
      </c>
      <c r="T113">
        <v>7.8</v>
      </c>
      <c r="U113" s="47">
        <f t="shared" si="55"/>
        <v>395.3021288641097</v>
      </c>
    </row>
    <row r="114" spans="1:21" ht="15" customHeight="1" thickBot="1">
      <c r="A114">
        <v>54</v>
      </c>
      <c r="B114" t="s">
        <v>143</v>
      </c>
      <c r="C114">
        <v>0.3</v>
      </c>
      <c r="D114">
        <v>0.3</v>
      </c>
      <c r="E114" s="37">
        <f t="shared" si="42"/>
        <v>54.3</v>
      </c>
      <c r="F114">
        <v>0</v>
      </c>
      <c r="G114" s="71">
        <f t="shared" si="43"/>
        <v>1</v>
      </c>
      <c r="H114" s="39">
        <f t="shared" si="44"/>
        <v>0.3</v>
      </c>
      <c r="I114">
        <v>0.3</v>
      </c>
      <c r="J114" s="71">
        <f t="shared" si="45"/>
        <v>0.3</v>
      </c>
      <c r="K114" s="71">
        <f t="shared" si="46"/>
        <v>54.6</v>
      </c>
      <c r="L114" s="72">
        <f t="shared" si="47"/>
        <v>0.10076129765895106</v>
      </c>
      <c r="M114" s="73">
        <f t="shared" si="48"/>
        <v>1.7586181857103429E-3</v>
      </c>
      <c r="N114" s="73">
        <f t="shared" si="49"/>
        <v>0.99999845363462536</v>
      </c>
      <c r="O114" s="74">
        <f t="shared" si="50"/>
        <v>1.5463653746383699E-4</v>
      </c>
      <c r="P114" s="75">
        <f t="shared" si="51"/>
        <v>1.0000015463677658</v>
      </c>
      <c r="Q114" s="37">
        <f t="shared" si="52"/>
        <v>0.30000046391032975</v>
      </c>
      <c r="R114" s="43">
        <f t="shared" si="53"/>
        <v>54.600000927820659</v>
      </c>
      <c r="S114" s="76">
        <f t="shared" si="54"/>
        <v>1.7586154662440731E-3</v>
      </c>
      <c r="T114">
        <v>7.8</v>
      </c>
      <c r="U114" s="47">
        <f t="shared" si="55"/>
        <v>398.97591733276124</v>
      </c>
    </row>
    <row r="115" spans="1:21" ht="15" customHeight="1" thickBot="1">
      <c r="A115">
        <v>54.5</v>
      </c>
      <c r="B115" t="s">
        <v>143</v>
      </c>
      <c r="C115">
        <v>0.3</v>
      </c>
      <c r="D115">
        <v>0.3</v>
      </c>
      <c r="E115" s="37">
        <f t="shared" si="42"/>
        <v>54.8</v>
      </c>
      <c r="F115">
        <v>0</v>
      </c>
      <c r="G115" s="71">
        <f t="shared" si="43"/>
        <v>1</v>
      </c>
      <c r="H115" s="39">
        <f t="shared" si="44"/>
        <v>0.3</v>
      </c>
      <c r="I115">
        <v>0.3</v>
      </c>
      <c r="J115" s="71">
        <f t="shared" si="45"/>
        <v>0.3</v>
      </c>
      <c r="K115" s="71">
        <f t="shared" si="46"/>
        <v>55.1</v>
      </c>
      <c r="L115" s="72">
        <f t="shared" si="47"/>
        <v>9.9841944622984083E-2</v>
      </c>
      <c r="M115" s="73">
        <f t="shared" si="48"/>
        <v>1.7425723993443724E-3</v>
      </c>
      <c r="N115" s="73">
        <f t="shared" si="49"/>
        <v>0.99999848172417427</v>
      </c>
      <c r="O115" s="74">
        <f t="shared" si="50"/>
        <v>1.5182758258032911E-4</v>
      </c>
      <c r="P115" s="75">
        <f t="shared" si="51"/>
        <v>1.000001518278131</v>
      </c>
      <c r="Q115" s="37">
        <f t="shared" si="52"/>
        <v>0.30000045548343929</v>
      </c>
      <c r="R115" s="43">
        <f t="shared" si="53"/>
        <v>55.100000910966877</v>
      </c>
      <c r="S115" s="76">
        <f t="shared" si="54"/>
        <v>1.7425697536388237E-3</v>
      </c>
      <c r="T115">
        <v>7.8</v>
      </c>
      <c r="U115" s="47">
        <f t="shared" si="55"/>
        <v>402.6497060124118</v>
      </c>
    </row>
    <row r="116" spans="1:21" ht="15" customHeight="1" thickBot="1">
      <c r="A116">
        <v>55</v>
      </c>
      <c r="B116" t="s">
        <v>143</v>
      </c>
      <c r="C116">
        <v>0.3</v>
      </c>
      <c r="D116">
        <v>0.3</v>
      </c>
      <c r="E116" s="37">
        <f t="shared" si="42"/>
        <v>55.3</v>
      </c>
      <c r="F116">
        <v>0</v>
      </c>
      <c r="G116" s="71">
        <f t="shared" si="43"/>
        <v>1</v>
      </c>
      <c r="H116" s="39">
        <f t="shared" si="44"/>
        <v>0.3</v>
      </c>
      <c r="I116">
        <v>0.3</v>
      </c>
      <c r="J116" s="71">
        <f t="shared" si="45"/>
        <v>0.3</v>
      </c>
      <c r="K116" s="71">
        <f t="shared" si="46"/>
        <v>55.6</v>
      </c>
      <c r="L116" s="72">
        <f t="shared" si="47"/>
        <v>9.8939216365848834E-2</v>
      </c>
      <c r="M116" s="73">
        <f t="shared" si="48"/>
        <v>1.7268167718638627E-3</v>
      </c>
      <c r="N116" s="73">
        <f t="shared" si="49"/>
        <v>0.99999850905525256</v>
      </c>
      <c r="O116" s="74">
        <f t="shared" si="50"/>
        <v>1.4909447474768339E-4</v>
      </c>
      <c r="P116" s="75">
        <f t="shared" si="51"/>
        <v>1.0000014909469703</v>
      </c>
      <c r="Q116" s="37">
        <f t="shared" si="52"/>
        <v>0.30000044728409109</v>
      </c>
      <c r="R116" s="43">
        <f t="shared" si="53"/>
        <v>55.600000894568183</v>
      </c>
      <c r="S116" s="76">
        <f t="shared" si="54"/>
        <v>1.7268141972754669E-3</v>
      </c>
      <c r="T116">
        <v>7.8</v>
      </c>
      <c r="U116" s="47">
        <f t="shared" si="55"/>
        <v>406.32349489732229</v>
      </c>
    </row>
    <row r="117" spans="1:21" ht="15" customHeight="1" thickBot="1">
      <c r="A117">
        <v>55.5</v>
      </c>
      <c r="B117" t="s">
        <v>143</v>
      </c>
      <c r="C117">
        <v>0.3</v>
      </c>
      <c r="D117">
        <v>0.3</v>
      </c>
      <c r="E117" s="37">
        <f t="shared" si="42"/>
        <v>55.8</v>
      </c>
      <c r="F117">
        <v>0</v>
      </c>
      <c r="G117" s="71">
        <f t="shared" si="43"/>
        <v>1</v>
      </c>
      <c r="H117" s="39">
        <f t="shared" si="44"/>
        <v>0.3</v>
      </c>
      <c r="I117">
        <v>0.3</v>
      </c>
      <c r="J117" s="71">
        <f t="shared" si="45"/>
        <v>0.3</v>
      </c>
      <c r="K117" s="71">
        <f t="shared" si="46"/>
        <v>56.1</v>
      </c>
      <c r="L117" s="72">
        <f t="shared" si="47"/>
        <v>9.8052665986657614E-2</v>
      </c>
      <c r="M117" s="73">
        <f t="shared" si="48"/>
        <v>1.7113435032987746E-3</v>
      </c>
      <c r="N117" s="73">
        <f t="shared" si="49"/>
        <v>0.99999853565492336</v>
      </c>
      <c r="O117" s="74">
        <f t="shared" si="50"/>
        <v>1.4643450766775129E-4</v>
      </c>
      <c r="P117" s="75">
        <f t="shared" si="51"/>
        <v>1.000001464347221</v>
      </c>
      <c r="Q117" s="37">
        <f t="shared" si="52"/>
        <v>0.30000043930416631</v>
      </c>
      <c r="R117" s="43">
        <f t="shared" si="53"/>
        <v>56.100000878608334</v>
      </c>
      <c r="S117" s="76">
        <f t="shared" si="54"/>
        <v>1.7113409973013409E-3</v>
      </c>
      <c r="T117">
        <v>7.8</v>
      </c>
      <c r="U117" s="47">
        <f t="shared" si="55"/>
        <v>409.99728398196066</v>
      </c>
    </row>
    <row r="118" spans="1:21" ht="15" customHeight="1" thickBot="1">
      <c r="A118">
        <v>56</v>
      </c>
      <c r="B118" t="s">
        <v>143</v>
      </c>
      <c r="C118">
        <v>0.3</v>
      </c>
      <c r="D118">
        <v>0.3</v>
      </c>
      <c r="E118" s="37">
        <f t="shared" si="42"/>
        <v>56.3</v>
      </c>
      <c r="F118">
        <v>0</v>
      </c>
      <c r="G118" s="71">
        <f t="shared" si="43"/>
        <v>1</v>
      </c>
      <c r="H118" s="39">
        <f t="shared" si="44"/>
        <v>0.3</v>
      </c>
      <c r="I118">
        <v>0.3</v>
      </c>
      <c r="J118" s="71">
        <f t="shared" si="45"/>
        <v>0.3</v>
      </c>
      <c r="K118" s="71">
        <f t="shared" si="46"/>
        <v>56.6</v>
      </c>
      <c r="L118" s="72">
        <f t="shared" si="47"/>
        <v>9.718186246014282E-2</v>
      </c>
      <c r="M118" s="73">
        <f t="shared" si="48"/>
        <v>1.6961450707650375E-3</v>
      </c>
      <c r="N118" s="73">
        <f t="shared" si="49"/>
        <v>0.9999985615490532</v>
      </c>
      <c r="O118" s="74">
        <f t="shared" si="50"/>
        <v>1.4384509468741888E-4</v>
      </c>
      <c r="P118" s="75">
        <f t="shared" si="51"/>
        <v>1.000001438453016</v>
      </c>
      <c r="Q118" s="37">
        <f t="shared" si="52"/>
        <v>0.30000043153590478</v>
      </c>
      <c r="R118" s="43">
        <f t="shared" si="53"/>
        <v>56.600000863071813</v>
      </c>
      <c r="S118" s="76">
        <f t="shared" si="54"/>
        <v>1.6961426309435547E-3</v>
      </c>
      <c r="T118">
        <v>7.8</v>
      </c>
      <c r="U118" s="47">
        <f t="shared" si="55"/>
        <v>413.67107326099125</v>
      </c>
    </row>
    <row r="119" spans="1:21" ht="15" customHeight="1" thickBot="1">
      <c r="A119">
        <v>56.5</v>
      </c>
      <c r="B119" t="s">
        <v>143</v>
      </c>
      <c r="C119">
        <v>0.3</v>
      </c>
      <c r="D119">
        <v>0.3</v>
      </c>
      <c r="E119" s="37">
        <f t="shared" si="42"/>
        <v>56.8</v>
      </c>
      <c r="F119">
        <v>0</v>
      </c>
      <c r="G119" s="71">
        <f t="shared" si="43"/>
        <v>1</v>
      </c>
      <c r="H119" s="39">
        <f t="shared" si="44"/>
        <v>0.3</v>
      </c>
      <c r="I119">
        <v>0.3</v>
      </c>
      <c r="J119" s="71">
        <f t="shared" si="45"/>
        <v>0.3</v>
      </c>
      <c r="K119" s="71">
        <f t="shared" si="46"/>
        <v>57.1</v>
      </c>
      <c r="L119" s="72">
        <f t="shared" si="47"/>
        <v>9.6326389937910095E-2</v>
      </c>
      <c r="M119" s="73">
        <f t="shared" si="48"/>
        <v>1.6812142162688664E-3</v>
      </c>
      <c r="N119" s="73">
        <f t="shared" si="49"/>
        <v>0.99999858676237541</v>
      </c>
      <c r="O119" s="74">
        <f t="shared" si="50"/>
        <v>1.4132376245183192E-4</v>
      </c>
      <c r="P119" s="75">
        <f t="shared" si="51"/>
        <v>1.0000014132396218</v>
      </c>
      <c r="Q119" s="37">
        <f t="shared" si="52"/>
        <v>0.30000042397188653</v>
      </c>
      <c r="R119" s="43">
        <f t="shared" si="53"/>
        <v>57.100000847943775</v>
      </c>
      <c r="S119" s="76">
        <f t="shared" si="54"/>
        <v>1.681211840313681E-3</v>
      </c>
      <c r="T119">
        <v>7.8</v>
      </c>
      <c r="U119" s="47">
        <f t="shared" si="55"/>
        <v>417.34486272926711</v>
      </c>
    </row>
    <row r="120" spans="1:21" ht="15" customHeight="1" thickBot="1">
      <c r="A120">
        <v>57</v>
      </c>
      <c r="B120" t="s">
        <v>143</v>
      </c>
      <c r="C120">
        <v>0.3</v>
      </c>
      <c r="D120">
        <v>0.3</v>
      </c>
      <c r="E120" s="37">
        <f t="shared" si="42"/>
        <v>57.3</v>
      </c>
      <c r="F120">
        <v>0</v>
      </c>
      <c r="G120" s="71">
        <f t="shared" si="43"/>
        <v>1</v>
      </c>
      <c r="H120" s="39">
        <f t="shared" si="44"/>
        <v>0.3</v>
      </c>
      <c r="I120">
        <v>0.3</v>
      </c>
      <c r="J120" s="71">
        <f t="shared" si="45"/>
        <v>0.3</v>
      </c>
      <c r="K120" s="71">
        <f t="shared" si="46"/>
        <v>57.6</v>
      </c>
      <c r="L120" s="72">
        <f t="shared" si="47"/>
        <v>9.5485847086274889E-2</v>
      </c>
      <c r="M120" s="73">
        <f t="shared" si="48"/>
        <v>1.6665439351495918E-3</v>
      </c>
      <c r="N120" s="73">
        <f t="shared" si="49"/>
        <v>0.99999861131854872</v>
      </c>
      <c r="O120" s="74">
        <f t="shared" si="50"/>
        <v>1.3886814513123608E-4</v>
      </c>
      <c r="P120" s="75">
        <f t="shared" si="51"/>
        <v>1.0000013886833796</v>
      </c>
      <c r="Q120" s="37">
        <f t="shared" si="52"/>
        <v>0.30000041660501386</v>
      </c>
      <c r="R120" s="43">
        <f t="shared" si="53"/>
        <v>57.600000833210025</v>
      </c>
      <c r="S120" s="76">
        <f t="shared" si="54"/>
        <v>1.6665416208509413E-3</v>
      </c>
      <c r="T120">
        <v>7.8</v>
      </c>
      <c r="U120" s="47">
        <f t="shared" si="55"/>
        <v>421.01865238182137</v>
      </c>
    </row>
    <row r="121" spans="1:21" ht="15" customHeight="1" thickBot="1">
      <c r="A121">
        <v>57.5</v>
      </c>
      <c r="B121" t="s">
        <v>143</v>
      </c>
      <c r="C121">
        <v>0.3</v>
      </c>
      <c r="D121">
        <v>0.3</v>
      </c>
      <c r="E121" s="37">
        <f t="shared" si="42"/>
        <v>57.8</v>
      </c>
      <c r="F121">
        <v>0</v>
      </c>
      <c r="G121" s="71">
        <f t="shared" si="43"/>
        <v>1</v>
      </c>
      <c r="H121" s="39">
        <f t="shared" si="44"/>
        <v>0.3</v>
      </c>
      <c r="I121">
        <v>0.3</v>
      </c>
      <c r="J121" s="71">
        <f t="shared" si="45"/>
        <v>0.3</v>
      </c>
      <c r="K121" s="71">
        <f t="shared" si="46"/>
        <v>58.1</v>
      </c>
      <c r="L121" s="72">
        <f t="shared" si="47"/>
        <v>9.4659846458467062E-2</v>
      </c>
      <c r="M121" s="73">
        <f t="shared" si="48"/>
        <v>1.6521274651223462E-3</v>
      </c>
      <c r="N121" s="73">
        <f t="shared" si="49"/>
        <v>0.99999863524021337</v>
      </c>
      <c r="O121" s="74">
        <f t="shared" si="50"/>
        <v>1.3647597866632094E-4</v>
      </c>
      <c r="P121" s="75">
        <f t="shared" si="51"/>
        <v>1.0000013647616492</v>
      </c>
      <c r="Q121" s="37">
        <f t="shared" si="52"/>
        <v>0.30000040942849476</v>
      </c>
      <c r="R121" s="43">
        <f t="shared" si="53"/>
        <v>58.100000818856991</v>
      </c>
      <c r="S121" s="76">
        <f t="shared" si="54"/>
        <v>1.6521252103652195E-3</v>
      </c>
      <c r="T121">
        <v>7.8</v>
      </c>
      <c r="U121" s="47">
        <f t="shared" si="55"/>
        <v>424.69244221385947</v>
      </c>
    </row>
    <row r="122" spans="1:21" ht="15" customHeight="1" thickBot="1">
      <c r="A122">
        <v>58</v>
      </c>
      <c r="B122" t="s">
        <v>143</v>
      </c>
      <c r="C122">
        <v>0.3</v>
      </c>
      <c r="D122">
        <v>0.3</v>
      </c>
      <c r="E122" s="37">
        <f t="shared" si="42"/>
        <v>58.3</v>
      </c>
      <c r="F122">
        <v>0</v>
      </c>
      <c r="G122" s="71">
        <f t="shared" si="43"/>
        <v>1</v>
      </c>
      <c r="H122" s="39">
        <f t="shared" si="44"/>
        <v>0.3</v>
      </c>
      <c r="I122">
        <v>0.3</v>
      </c>
      <c r="J122" s="71">
        <f t="shared" si="45"/>
        <v>0.3</v>
      </c>
      <c r="K122" s="71">
        <f t="shared" si="46"/>
        <v>58.6</v>
      </c>
      <c r="L122" s="72">
        <f t="shared" si="47"/>
        <v>9.384801389914034E-2</v>
      </c>
      <c r="M122" s="73">
        <f t="shared" si="48"/>
        <v>1.6379582758845903E-3</v>
      </c>
      <c r="N122" s="73">
        <f t="shared" si="49"/>
        <v>0.99999865854904246</v>
      </c>
      <c r="O122" s="74">
        <f t="shared" si="50"/>
        <v>1.341450957537127E-4</v>
      </c>
      <c r="P122" s="75">
        <f t="shared" si="51"/>
        <v>1.0000013414527571</v>
      </c>
      <c r="Q122" s="37">
        <f t="shared" si="52"/>
        <v>0.3000004024358271</v>
      </c>
      <c r="R122" s="43">
        <f t="shared" si="53"/>
        <v>58.600000804871655</v>
      </c>
      <c r="S122" s="76">
        <f t="shared" si="54"/>
        <v>1.6379560786438927E-3</v>
      </c>
      <c r="T122">
        <v>7.8</v>
      </c>
      <c r="U122" s="47">
        <f t="shared" si="55"/>
        <v>428.36623222075144</v>
      </c>
    </row>
    <row r="123" spans="1:21" ht="15" customHeight="1" thickBot="1">
      <c r="A123">
        <v>58.5</v>
      </c>
      <c r="B123" t="s">
        <v>143</v>
      </c>
      <c r="C123">
        <v>0.3</v>
      </c>
      <c r="D123">
        <v>0.3</v>
      </c>
      <c r="E123" s="37">
        <f t="shared" si="42"/>
        <v>58.8</v>
      </c>
      <c r="F123">
        <v>0</v>
      </c>
      <c r="G123" s="71">
        <f t="shared" si="43"/>
        <v>1</v>
      </c>
      <c r="H123" s="39">
        <f t="shared" si="44"/>
        <v>0.3</v>
      </c>
      <c r="I123">
        <v>0.3</v>
      </c>
      <c r="J123" s="71">
        <f t="shared" si="45"/>
        <v>0.3</v>
      </c>
      <c r="K123" s="71">
        <f t="shared" si="46"/>
        <v>59.1</v>
      </c>
      <c r="L123" s="72">
        <f t="shared" si="47"/>
        <v>9.3049987979263893E-2</v>
      </c>
      <c r="M123" s="73">
        <f t="shared" si="48"/>
        <v>1.6240300592529186E-3</v>
      </c>
      <c r="N123" s="73">
        <f t="shared" si="49"/>
        <v>0.99999868126579194</v>
      </c>
      <c r="O123" s="74">
        <f t="shared" si="50"/>
        <v>1.3187342081296313E-4</v>
      </c>
      <c r="P123" s="75">
        <f t="shared" si="51"/>
        <v>1.0000013187359471</v>
      </c>
      <c r="Q123" s="37">
        <f t="shared" si="52"/>
        <v>0.30000039562078412</v>
      </c>
      <c r="R123" s="43">
        <f t="shared" si="53"/>
        <v>59.10000079124157</v>
      </c>
      <c r="S123" s="76">
        <f t="shared" si="54"/>
        <v>1.6240279175889247E-3</v>
      </c>
      <c r="T123">
        <v>7.8</v>
      </c>
      <c r="U123" s="47">
        <f t="shared" si="55"/>
        <v>432.04002239802549</v>
      </c>
    </row>
    <row r="124" spans="1:21" ht="15" customHeight="1" thickBot="1">
      <c r="A124">
        <v>59</v>
      </c>
      <c r="B124" t="s">
        <v>143</v>
      </c>
      <c r="C124">
        <v>0.3</v>
      </c>
      <c r="D124">
        <v>0.3</v>
      </c>
      <c r="E124" s="37">
        <f t="shared" si="42"/>
        <v>59.3</v>
      </c>
      <c r="F124">
        <v>0</v>
      </c>
      <c r="G124" s="71">
        <f t="shared" si="43"/>
        <v>1</v>
      </c>
      <c r="H124" s="39">
        <f t="shared" si="44"/>
        <v>0.3</v>
      </c>
      <c r="I124">
        <v>0.3</v>
      </c>
      <c r="J124" s="71">
        <f t="shared" si="45"/>
        <v>0.3</v>
      </c>
      <c r="K124" s="71">
        <f t="shared" si="46"/>
        <v>59.6</v>
      </c>
      <c r="L124" s="72">
        <f t="shared" si="47"/>
        <v>9.2265419459602552E-2</v>
      </c>
      <c r="M124" s="73">
        <f t="shared" si="48"/>
        <v>1.6103367197988468E-3</v>
      </c>
      <c r="N124" s="73">
        <f t="shared" si="49"/>
        <v>0.99999870341034613</v>
      </c>
      <c r="O124" s="74">
        <f t="shared" si="50"/>
        <v>1.2965896537912397E-4</v>
      </c>
      <c r="P124" s="75">
        <f t="shared" si="51"/>
        <v>1.000001296591335</v>
      </c>
      <c r="Q124" s="37">
        <f t="shared" si="52"/>
        <v>0.3000003889774005</v>
      </c>
      <c r="R124" s="43">
        <f t="shared" si="53"/>
        <v>59.600000777954804</v>
      </c>
      <c r="S124" s="76">
        <f t="shared" si="54"/>
        <v>1.6103346318529167E-3</v>
      </c>
      <c r="T124">
        <v>7.8</v>
      </c>
      <c r="U124" s="47">
        <f t="shared" si="55"/>
        <v>435.71381274136115</v>
      </c>
    </row>
    <row r="125" spans="1:21" ht="15" customHeight="1" thickBot="1">
      <c r="A125">
        <v>59.5</v>
      </c>
      <c r="B125" t="s">
        <v>143</v>
      </c>
      <c r="C125">
        <v>0.3</v>
      </c>
      <c r="D125">
        <v>0.3</v>
      </c>
      <c r="E125" s="37">
        <f t="shared" si="42"/>
        <v>59.8</v>
      </c>
      <c r="F125">
        <v>0</v>
      </c>
      <c r="G125" s="71">
        <f t="shared" si="43"/>
        <v>1</v>
      </c>
      <c r="H125" s="39">
        <f t="shared" si="44"/>
        <v>0.3</v>
      </c>
      <c r="I125">
        <v>0.3</v>
      </c>
      <c r="J125" s="71">
        <f t="shared" si="45"/>
        <v>0.3</v>
      </c>
      <c r="K125" s="71">
        <f t="shared" si="46"/>
        <v>60.1</v>
      </c>
      <c r="L125" s="72">
        <f t="shared" si="47"/>
        <v>9.1493970781112613E-2</v>
      </c>
      <c r="M125" s="73">
        <f t="shared" si="48"/>
        <v>1.5968723659543747E-3</v>
      </c>
      <c r="N125" s="73">
        <f t="shared" si="49"/>
        <v>0.9999987250017619</v>
      </c>
      <c r="O125" s="74">
        <f t="shared" si="50"/>
        <v>1.2749982380988456E-4</v>
      </c>
      <c r="P125" s="75">
        <f t="shared" si="51"/>
        <v>1.0000012749998637</v>
      </c>
      <c r="Q125" s="37">
        <f t="shared" si="52"/>
        <v>0.30000038249995908</v>
      </c>
      <c r="R125" s="43">
        <f t="shared" si="53"/>
        <v>60.100000764999919</v>
      </c>
      <c r="S125" s="76">
        <f t="shared" si="54"/>
        <v>1.5968703299449217E-3</v>
      </c>
      <c r="T125">
        <v>7.8</v>
      </c>
      <c r="U125" s="47">
        <f t="shared" si="55"/>
        <v>439.38760324658233</v>
      </c>
    </row>
    <row r="126" spans="1:21" ht="15" customHeight="1" thickBot="1">
      <c r="A126">
        <v>60</v>
      </c>
      <c r="B126" t="s">
        <v>143</v>
      </c>
      <c r="C126">
        <v>0.3</v>
      </c>
      <c r="D126">
        <v>0.3</v>
      </c>
      <c r="E126" s="37">
        <f t="shared" si="42"/>
        <v>60.3</v>
      </c>
      <c r="F126">
        <v>0</v>
      </c>
      <c r="G126" s="71">
        <f t="shared" si="43"/>
        <v>1</v>
      </c>
      <c r="H126" s="39">
        <f t="shared" si="44"/>
        <v>0.3</v>
      </c>
      <c r="I126">
        <v>0.3</v>
      </c>
      <c r="J126" s="71">
        <f t="shared" si="45"/>
        <v>0.3</v>
      </c>
      <c r="K126" s="71">
        <f t="shared" si="46"/>
        <v>60.6</v>
      </c>
      <c r="L126" s="72">
        <f t="shared" si="47"/>
        <v>9.0735315580691034E-2</v>
      </c>
      <c r="M126" s="73">
        <f t="shared" si="48"/>
        <v>1.58363130156006E-3</v>
      </c>
      <c r="N126" s="73">
        <f t="shared" si="49"/>
        <v>0.99999874605830896</v>
      </c>
      <c r="O126" s="74">
        <f t="shared" si="50"/>
        <v>1.2539416910373191E-4</v>
      </c>
      <c r="P126" s="75">
        <f t="shared" si="51"/>
        <v>1.0000012539432634</v>
      </c>
      <c r="Q126" s="37">
        <f t="shared" si="52"/>
        <v>0.30000037618297903</v>
      </c>
      <c r="R126" s="43">
        <f t="shared" si="53"/>
        <v>60.600000752365958</v>
      </c>
      <c r="S126" s="76">
        <f t="shared" si="54"/>
        <v>1.5836293157787476E-3</v>
      </c>
      <c r="T126">
        <v>7.8</v>
      </c>
      <c r="U126" s="47">
        <f t="shared" si="55"/>
        <v>443.06139390965245</v>
      </c>
    </row>
    <row r="127" spans="1:21" ht="15" customHeight="1" thickBot="1">
      <c r="A127">
        <v>60.5</v>
      </c>
      <c r="B127" t="s">
        <v>143</v>
      </c>
      <c r="C127">
        <v>0.3</v>
      </c>
      <c r="D127">
        <v>0.3</v>
      </c>
      <c r="E127" s="37">
        <f t="shared" si="42"/>
        <v>60.8</v>
      </c>
      <c r="F127">
        <v>0</v>
      </c>
      <c r="G127" s="71">
        <f t="shared" si="43"/>
        <v>1</v>
      </c>
      <c r="H127" s="39">
        <f t="shared" si="44"/>
        <v>0.3</v>
      </c>
      <c r="I127">
        <v>0.3</v>
      </c>
      <c r="J127" s="71">
        <f t="shared" si="45"/>
        <v>0.3</v>
      </c>
      <c r="K127" s="71">
        <f t="shared" si="46"/>
        <v>61.1</v>
      </c>
      <c r="L127" s="72">
        <f t="shared" si="47"/>
        <v>8.9989138230818194E-2</v>
      </c>
      <c r="M127" s="73">
        <f t="shared" si="48"/>
        <v>1.5706080178301252E-3</v>
      </c>
      <c r="N127" s="73">
        <f t="shared" si="49"/>
        <v>0.99999876659750908</v>
      </c>
      <c r="O127" s="74">
        <f t="shared" si="50"/>
        <v>1.2334024908818483E-4</v>
      </c>
      <c r="P127" s="75">
        <f t="shared" si="51"/>
        <v>1.0000012334040123</v>
      </c>
      <c r="Q127" s="37">
        <f t="shared" si="52"/>
        <v>0.30000037002120367</v>
      </c>
      <c r="R127" s="43">
        <f t="shared" si="53"/>
        <v>61.100000740042404</v>
      </c>
      <c r="S127" s="76">
        <f t="shared" si="54"/>
        <v>1.5706060806382838E-3</v>
      </c>
      <c r="T127">
        <v>7.8</v>
      </c>
      <c r="U127" s="47">
        <f t="shared" si="55"/>
        <v>446.73518472666746</v>
      </c>
    </row>
    <row r="128" spans="1:21" ht="15" customHeight="1" thickBot="1">
      <c r="A128">
        <v>61</v>
      </c>
      <c r="B128" t="s">
        <v>143</v>
      </c>
      <c r="C128">
        <v>0.3</v>
      </c>
      <c r="D128">
        <v>0.3</v>
      </c>
      <c r="E128" s="37">
        <f t="shared" si="42"/>
        <v>61.3</v>
      </c>
      <c r="F128">
        <v>0</v>
      </c>
      <c r="G128" s="71">
        <f t="shared" si="43"/>
        <v>1</v>
      </c>
      <c r="H128" s="39">
        <f t="shared" si="44"/>
        <v>0.3</v>
      </c>
      <c r="I128">
        <v>0.3</v>
      </c>
      <c r="J128" s="71">
        <f t="shared" si="45"/>
        <v>0.3</v>
      </c>
      <c r="K128" s="71">
        <f t="shared" si="46"/>
        <v>61.6</v>
      </c>
      <c r="L128" s="72">
        <f t="shared" si="47"/>
        <v>8.9255133401730524E-2</v>
      </c>
      <c r="M128" s="73">
        <f t="shared" si="48"/>
        <v>1.557797185710793E-3</v>
      </c>
      <c r="N128" s="73">
        <f t="shared" si="49"/>
        <v>0.99999878663617248</v>
      </c>
      <c r="O128" s="74">
        <f t="shared" si="50"/>
        <v>1.21336382756058E-4</v>
      </c>
      <c r="P128" s="75">
        <f t="shared" si="51"/>
        <v>1.0000012133652998</v>
      </c>
      <c r="Q128" s="37">
        <f t="shared" si="52"/>
        <v>0.3000003640095899</v>
      </c>
      <c r="R128" s="43">
        <f t="shared" si="53"/>
        <v>61.600000728019182</v>
      </c>
      <c r="S128" s="76">
        <f t="shared" si="54"/>
        <v>1.5577952955360371E-3</v>
      </c>
      <c r="T128">
        <v>7.8</v>
      </c>
      <c r="U128" s="47">
        <f t="shared" si="55"/>
        <v>450.40897569385118</v>
      </c>
    </row>
    <row r="129" spans="1:21" ht="15" customHeight="1" thickBot="1">
      <c r="A129">
        <v>61.5</v>
      </c>
      <c r="B129" t="s">
        <v>143</v>
      </c>
      <c r="C129">
        <v>0.3</v>
      </c>
      <c r="D129">
        <v>0.3</v>
      </c>
      <c r="E129" s="37">
        <f t="shared" si="42"/>
        <v>61.8</v>
      </c>
      <c r="F129">
        <v>0</v>
      </c>
      <c r="G129" s="71">
        <f t="shared" si="43"/>
        <v>1</v>
      </c>
      <c r="H129" s="39">
        <f t="shared" si="44"/>
        <v>0.3</v>
      </c>
      <c r="I129">
        <v>0.3</v>
      </c>
      <c r="J129" s="71">
        <f t="shared" si="45"/>
        <v>0.3</v>
      </c>
      <c r="K129" s="71">
        <f t="shared" si="46"/>
        <v>62.1</v>
      </c>
      <c r="L129" s="72">
        <f t="shared" si="47"/>
        <v>8.8533005644846632E-2</v>
      </c>
      <c r="M129" s="73">
        <f t="shared" si="48"/>
        <v>1.545193648609573E-3</v>
      </c>
      <c r="N129" s="73">
        <f t="shared" si="49"/>
        <v>0.99999880619043191</v>
      </c>
      <c r="O129" s="74">
        <f t="shared" si="50"/>
        <v>1.1938095680526692E-4</v>
      </c>
      <c r="P129" s="75">
        <f t="shared" si="51"/>
        <v>1.0000011938109932</v>
      </c>
      <c r="Q129" s="37">
        <f t="shared" si="52"/>
        <v>0.30000035814329795</v>
      </c>
      <c r="R129" s="43">
        <f t="shared" si="53"/>
        <v>62.100000716286594</v>
      </c>
      <c r="S129" s="76">
        <f t="shared" si="54"/>
        <v>1.5451918039426108E-3</v>
      </c>
      <c r="T129">
        <v>7.8</v>
      </c>
      <c r="U129" s="47">
        <f t="shared" si="55"/>
        <v>454.08276680754994</v>
      </c>
    </row>
    <row r="130" spans="1:21" ht="15" customHeight="1" thickBot="1">
      <c r="A130">
        <v>62</v>
      </c>
      <c r="B130" t="s">
        <v>143</v>
      </c>
      <c r="C130">
        <v>0.3</v>
      </c>
      <c r="D130">
        <v>0.3</v>
      </c>
      <c r="E130" s="37">
        <f t="shared" si="42"/>
        <v>62.3</v>
      </c>
      <c r="F130">
        <v>0</v>
      </c>
      <c r="G130" s="71">
        <f t="shared" si="43"/>
        <v>1</v>
      </c>
      <c r="H130" s="39">
        <f t="shared" si="44"/>
        <v>0.3</v>
      </c>
      <c r="I130">
        <v>0.3</v>
      </c>
      <c r="J130" s="71">
        <f t="shared" si="45"/>
        <v>0.3</v>
      </c>
      <c r="K130" s="71">
        <f t="shared" si="46"/>
        <v>62.6</v>
      </c>
      <c r="L130" s="72">
        <f t="shared" si="47"/>
        <v>8.7822468996252956E-2</v>
      </c>
      <c r="M130" s="73">
        <f t="shared" si="48"/>
        <v>1.5327924154746647E-3</v>
      </c>
      <c r="N130" s="73">
        <f t="shared" si="49"/>
        <v>0.99999882527577555</v>
      </c>
      <c r="O130" s="74">
        <f t="shared" si="50"/>
        <v>1.1747242243768478E-4</v>
      </c>
      <c r="P130" s="75">
        <f t="shared" si="51"/>
        <v>1.0000011747256043</v>
      </c>
      <c r="Q130" s="37">
        <f t="shared" si="52"/>
        <v>0.3000003524176813</v>
      </c>
      <c r="R130" s="43">
        <f t="shared" si="53"/>
        <v>62.600000704835359</v>
      </c>
      <c r="S130" s="76">
        <f t="shared" si="54"/>
        <v>1.5327906148662831E-3</v>
      </c>
      <c r="T130">
        <v>7.8</v>
      </c>
      <c r="U130" s="47">
        <f t="shared" si="55"/>
        <v>457.7565580642277</v>
      </c>
    </row>
    <row r="131" spans="1:21" ht="15" customHeight="1" thickBot="1">
      <c r="A131">
        <v>62.5</v>
      </c>
      <c r="B131" t="s">
        <v>143</v>
      </c>
      <c r="C131">
        <v>0.3</v>
      </c>
      <c r="D131">
        <v>0.3</v>
      </c>
      <c r="E131" s="37">
        <f t="shared" si="42"/>
        <v>62.8</v>
      </c>
      <c r="F131">
        <v>0</v>
      </c>
      <c r="G131" s="71">
        <f t="shared" si="43"/>
        <v>1</v>
      </c>
      <c r="H131" s="39">
        <f t="shared" si="44"/>
        <v>0.3</v>
      </c>
      <c r="I131">
        <v>0.3</v>
      </c>
      <c r="J131" s="71">
        <f t="shared" si="45"/>
        <v>0.3</v>
      </c>
      <c r="K131" s="71">
        <f t="shared" si="46"/>
        <v>63.1</v>
      </c>
      <c r="L131" s="72">
        <f t="shared" si="47"/>
        <v>8.7123246599131343E-2</v>
      </c>
      <c r="M131" s="73">
        <f t="shared" si="48"/>
        <v>1.5205886542049621E-3</v>
      </c>
      <c r="N131" s="73">
        <f t="shared" si="49"/>
        <v>0.99999884390707716</v>
      </c>
      <c r="O131" s="74">
        <f t="shared" si="50"/>
        <v>1.1560929228752552E-4</v>
      </c>
      <c r="P131" s="75">
        <f t="shared" si="51"/>
        <v>1.0000011560942594</v>
      </c>
      <c r="Q131" s="37">
        <f t="shared" si="52"/>
        <v>0.30000034682827781</v>
      </c>
      <c r="R131" s="43">
        <f t="shared" si="53"/>
        <v>63.100000693656554</v>
      </c>
      <c r="S131" s="76">
        <f t="shared" si="54"/>
        <v>1.5205868962631806E-3</v>
      </c>
      <c r="T131">
        <v>7.8</v>
      </c>
      <c r="U131" s="47">
        <f t="shared" si="55"/>
        <v>461.43034946046151</v>
      </c>
    </row>
    <row r="132" spans="1:21" ht="15" customHeight="1" thickBot="1">
      <c r="A132">
        <v>63</v>
      </c>
      <c r="B132" t="s">
        <v>143</v>
      </c>
      <c r="C132">
        <v>0.3</v>
      </c>
      <c r="D132">
        <v>0.3</v>
      </c>
      <c r="E132" s="37">
        <f t="shared" si="42"/>
        <v>63.3</v>
      </c>
      <c r="F132">
        <v>0</v>
      </c>
      <c r="G132" s="71">
        <f t="shared" si="43"/>
        <v>1</v>
      </c>
      <c r="H132" s="39">
        <f t="shared" si="44"/>
        <v>0.3</v>
      </c>
      <c r="I132">
        <v>0.3</v>
      </c>
      <c r="J132" s="71">
        <f t="shared" si="45"/>
        <v>0.3</v>
      </c>
      <c r="K132" s="71">
        <f t="shared" si="46"/>
        <v>63.6</v>
      </c>
      <c r="L132" s="72">
        <f t="shared" si="47"/>
        <v>8.6435070344080711E-2</v>
      </c>
      <c r="M132" s="73">
        <f t="shared" si="48"/>
        <v>1.5085776853723794E-3</v>
      </c>
      <c r="N132" s="73">
        <f t="shared" si="49"/>
        <v>0.99999886209862587</v>
      </c>
      <c r="O132" s="74">
        <f t="shared" si="50"/>
        <v>1.1379013740523784E-4</v>
      </c>
      <c r="P132" s="75">
        <f t="shared" si="51"/>
        <v>1.000001137902669</v>
      </c>
      <c r="Q132" s="37">
        <f t="shared" si="52"/>
        <v>0.30000034137080067</v>
      </c>
      <c r="R132" s="43">
        <f t="shared" si="53"/>
        <v>63.600000682741602</v>
      </c>
      <c r="S132" s="76">
        <f t="shared" si="54"/>
        <v>1.5085759687597582E-3</v>
      </c>
      <c r="T132">
        <v>7.8</v>
      </c>
      <c r="U132" s="47">
        <f t="shared" si="55"/>
        <v>465.1041409929361</v>
      </c>
    </row>
    <row r="133" spans="1:21" ht="15" customHeight="1" thickBot="1">
      <c r="A133">
        <v>63.5</v>
      </c>
      <c r="B133" t="s">
        <v>143</v>
      </c>
      <c r="C133">
        <v>0.3</v>
      </c>
      <c r="D133">
        <v>0.3</v>
      </c>
      <c r="E133" s="37">
        <f t="shared" si="42"/>
        <v>63.8</v>
      </c>
      <c r="F133">
        <v>0</v>
      </c>
      <c r="G133" s="71">
        <f t="shared" si="43"/>
        <v>1</v>
      </c>
      <c r="H133" s="39">
        <f t="shared" si="44"/>
        <v>0.3</v>
      </c>
      <c r="I133">
        <v>0.3</v>
      </c>
      <c r="J133" s="71">
        <f t="shared" si="45"/>
        <v>0.3</v>
      </c>
      <c r="K133" s="71">
        <f t="shared" si="46"/>
        <v>64.099999999999994</v>
      </c>
      <c r="L133" s="72">
        <f t="shared" si="47"/>
        <v>8.5757680526351507E-2</v>
      </c>
      <c r="M133" s="73">
        <f t="shared" si="48"/>
        <v>1.496754976239367E-3</v>
      </c>
      <c r="N133" s="73">
        <f t="shared" si="49"/>
        <v>0.99999887986415259</v>
      </c>
      <c r="O133" s="74">
        <f t="shared" si="50"/>
        <v>1.1201358474099976E-4</v>
      </c>
      <c r="P133" s="75">
        <f t="shared" si="51"/>
        <v>1.0000011201371022</v>
      </c>
      <c r="Q133" s="37">
        <f t="shared" si="52"/>
        <v>0.30000033604113063</v>
      </c>
      <c r="R133" s="43">
        <f t="shared" si="53"/>
        <v>64.10000067208226</v>
      </c>
      <c r="S133" s="76">
        <f t="shared" si="54"/>
        <v>1.4967532996704633E-3</v>
      </c>
      <c r="T133">
        <v>7.8</v>
      </c>
      <c r="U133" s="47">
        <f t="shared" si="55"/>
        <v>468.77793265844133</v>
      </c>
    </row>
    <row r="134" spans="1:21" ht="15" customHeight="1" thickBot="1">
      <c r="A134">
        <v>64</v>
      </c>
      <c r="B134" t="s">
        <v>143</v>
      </c>
      <c r="C134">
        <v>0.3</v>
      </c>
      <c r="D134">
        <v>0.3</v>
      </c>
      <c r="E134" s="37">
        <f t="shared" si="42"/>
        <v>64.3</v>
      </c>
      <c r="F134">
        <v>0</v>
      </c>
      <c r="G134" s="71">
        <f t="shared" si="43"/>
        <v>1</v>
      </c>
      <c r="H134" s="39">
        <f t="shared" si="44"/>
        <v>0.3</v>
      </c>
      <c r="I134">
        <v>0.3</v>
      </c>
      <c r="J134" s="71">
        <f t="shared" si="45"/>
        <v>0.3</v>
      </c>
      <c r="K134" s="71">
        <f t="shared" si="46"/>
        <v>64.599999999999994</v>
      </c>
      <c r="L134" s="72">
        <f t="shared" si="47"/>
        <v>8.5090825519072252E-2</v>
      </c>
      <c r="M134" s="73">
        <f t="shared" si="48"/>
        <v>1.485116135055546E-3</v>
      </c>
      <c r="N134" s="73">
        <f t="shared" si="49"/>
        <v>0.99999889721685686</v>
      </c>
      <c r="O134" s="74">
        <f t="shared" si="50"/>
        <v>1.1027831431364987E-4</v>
      </c>
      <c r="P134" s="75">
        <f t="shared" si="51"/>
        <v>1.0000011027843592</v>
      </c>
      <c r="Q134" s="37">
        <f t="shared" si="52"/>
        <v>0.30000033083530775</v>
      </c>
      <c r="R134" s="43">
        <f t="shared" si="53"/>
        <v>64.60000066167062</v>
      </c>
      <c r="S134" s="76">
        <f t="shared" si="54"/>
        <v>1.4851144972945068E-3</v>
      </c>
      <c r="T134">
        <v>7.8</v>
      </c>
      <c r="U134" s="47">
        <f t="shared" si="55"/>
        <v>472.45172445386612</v>
      </c>
    </row>
    <row r="135" spans="1:21" ht="15" customHeight="1" thickBot="1">
      <c r="A135">
        <v>64.5</v>
      </c>
      <c r="B135" t="s">
        <v>143</v>
      </c>
      <c r="C135">
        <v>0.3</v>
      </c>
      <c r="D135">
        <v>0.3</v>
      </c>
      <c r="E135" s="37">
        <f t="shared" si="42"/>
        <v>64.8</v>
      </c>
      <c r="F135">
        <v>0</v>
      </c>
      <c r="G135" s="71">
        <f t="shared" si="43"/>
        <v>1</v>
      </c>
      <c r="H135" s="39">
        <f t="shared" si="44"/>
        <v>0.3</v>
      </c>
      <c r="I135">
        <v>0.3</v>
      </c>
      <c r="J135" s="71">
        <f t="shared" si="45"/>
        <v>0.3</v>
      </c>
      <c r="K135" s="71">
        <f t="shared" si="46"/>
        <v>65.099999999999994</v>
      </c>
      <c r="L135" s="72">
        <f t="shared" si="47"/>
        <v>8.4434261461604376E-2</v>
      </c>
      <c r="M135" s="73">
        <f t="shared" si="48"/>
        <v>1.4736569056183889E-3</v>
      </c>
      <c r="N135" s="73">
        <f t="shared" si="49"/>
        <v>0.99999891416943076</v>
      </c>
      <c r="O135" s="74">
        <f t="shared" si="50"/>
        <v>1.0858305691622643E-4</v>
      </c>
      <c r="P135" s="75">
        <f t="shared" si="51"/>
        <v>1.0000010858317481</v>
      </c>
      <c r="Q135" s="37">
        <f t="shared" si="52"/>
        <v>0.3000003257495244</v>
      </c>
      <c r="R135" s="43">
        <f t="shared" si="53"/>
        <v>65.100000651499045</v>
      </c>
      <c r="S135" s="76">
        <f t="shared" si="54"/>
        <v>1.4736553054766723E-3</v>
      </c>
      <c r="T135">
        <v>7.8</v>
      </c>
      <c r="U135" s="47">
        <f t="shared" si="55"/>
        <v>476.12551637619657</v>
      </c>
    </row>
    <row r="136" spans="1:21" ht="15" customHeight="1" thickBot="1">
      <c r="A136">
        <v>65</v>
      </c>
      <c r="B136" t="s">
        <v>143</v>
      </c>
      <c r="C136">
        <v>0.3</v>
      </c>
      <c r="D136">
        <v>0.3</v>
      </c>
      <c r="E136" s="37">
        <f t="shared" ref="E136:E155" si="56">A136+J136</f>
        <v>65.3</v>
      </c>
      <c r="F136">
        <v>0</v>
      </c>
      <c r="G136" s="71">
        <f t="shared" ref="G136:G167" si="57">100/(100-F136)</f>
        <v>1</v>
      </c>
      <c r="H136" s="39">
        <f t="shared" ref="H136:H155" si="58">3.1415926*E136*M136</f>
        <v>0.3</v>
      </c>
      <c r="I136">
        <v>0.3</v>
      </c>
      <c r="J136" s="71">
        <f t="shared" ref="J136:J155" si="59">G136*C136</f>
        <v>0.3</v>
      </c>
      <c r="K136" s="71">
        <f t="shared" ref="K136:K167" si="60">A136+2*J136</f>
        <v>65.599999999999994</v>
      </c>
      <c r="L136" s="72">
        <f t="shared" ref="L136:L155" si="61">ATAN(I136/(3.1415926*(A136+J136)))*180/3.1415926</f>
        <v>8.3787751962214524E-2</v>
      </c>
      <c r="M136" s="73">
        <f t="shared" ref="M136:M155" si="62">I136/(3.1415926*(A136+J136))</f>
        <v>1.462373162083792E-3</v>
      </c>
      <c r="N136" s="73">
        <f t="shared" ref="N136:N155" si="63">COS(L136*3.1415926/180)</f>
        <v>0.99999893073408241</v>
      </c>
      <c r="O136" s="74">
        <f t="shared" ref="O136:O167" si="64">(D136-I136*N136)/D136*100</f>
        <v>1.0692659176599525E-4</v>
      </c>
      <c r="P136" s="75">
        <f t="shared" ref="P136:P167" si="65">100/(100-O136)</f>
        <v>1.0000010692670611</v>
      </c>
      <c r="Q136" s="37">
        <f t="shared" ref="Q136:Q167" si="66">P136*C136</f>
        <v>0.30000032078011835</v>
      </c>
      <c r="R136" s="43">
        <f t="shared" ref="R136:R167" si="67">A136+2*Q136</f>
        <v>65.600000641560243</v>
      </c>
      <c r="S136" s="76">
        <f t="shared" ref="S136:S155" si="68">SIN(L136*3.1415926/180)</f>
        <v>1.462371598418011E-3</v>
      </c>
      <c r="T136">
        <v>7.8</v>
      </c>
      <c r="U136" s="47">
        <f t="shared" ref="U136:U167" si="69">3.14*(A136+Q136)*Q136*T136*P136</f>
        <v>479.7993084225111</v>
      </c>
    </row>
    <row r="137" spans="1:21" ht="15" customHeight="1" thickBot="1">
      <c r="A137">
        <v>65.5</v>
      </c>
      <c r="B137" t="s">
        <v>143</v>
      </c>
      <c r="C137">
        <v>0.3</v>
      </c>
      <c r="D137">
        <v>0.3</v>
      </c>
      <c r="E137" s="37">
        <f t="shared" si="56"/>
        <v>65.8</v>
      </c>
      <c r="F137">
        <v>0</v>
      </c>
      <c r="G137" s="71">
        <f t="shared" si="57"/>
        <v>1</v>
      </c>
      <c r="H137" s="39">
        <f t="shared" si="58"/>
        <v>0.3</v>
      </c>
      <c r="I137">
        <v>0.3</v>
      </c>
      <c r="J137" s="71">
        <f t="shared" si="59"/>
        <v>0.3</v>
      </c>
      <c r="K137" s="71">
        <f t="shared" si="60"/>
        <v>66.099999999999994</v>
      </c>
      <c r="L137" s="72">
        <f t="shared" si="61"/>
        <v>8.3151067814302829E-2</v>
      </c>
      <c r="M137" s="73">
        <f t="shared" si="62"/>
        <v>1.4512609040132464E-3</v>
      </c>
      <c r="N137" s="73">
        <f t="shared" si="63"/>
        <v>0.99999894692255775</v>
      </c>
      <c r="O137" s="74">
        <f t="shared" si="64"/>
        <v>1.0530774422849258E-4</v>
      </c>
      <c r="P137" s="75">
        <f t="shared" si="65"/>
        <v>1.0000010530785512</v>
      </c>
      <c r="Q137" s="37">
        <f t="shared" si="66"/>
        <v>0.30000031592356535</v>
      </c>
      <c r="R137" s="43">
        <f t="shared" si="67"/>
        <v>66.100000631847138</v>
      </c>
      <c r="S137" s="76">
        <f t="shared" si="68"/>
        <v>1.4512593757231257E-3</v>
      </c>
      <c r="T137">
        <v>7.8</v>
      </c>
      <c r="U137" s="47">
        <f t="shared" si="69"/>
        <v>483.47310058997618</v>
      </c>
    </row>
    <row r="138" spans="1:21" ht="15" customHeight="1" thickBot="1">
      <c r="A138">
        <v>66</v>
      </c>
      <c r="B138" t="s">
        <v>143</v>
      </c>
      <c r="C138">
        <v>0.3</v>
      </c>
      <c r="D138">
        <v>0.3</v>
      </c>
      <c r="E138" s="37">
        <f t="shared" si="56"/>
        <v>66.3</v>
      </c>
      <c r="F138">
        <v>0</v>
      </c>
      <c r="G138" s="71">
        <f t="shared" si="57"/>
        <v>1</v>
      </c>
      <c r="H138" s="39">
        <f t="shared" si="58"/>
        <v>0.3</v>
      </c>
      <c r="I138">
        <v>0.3</v>
      </c>
      <c r="J138" s="71">
        <f t="shared" si="59"/>
        <v>0.3</v>
      </c>
      <c r="K138" s="71">
        <f t="shared" si="60"/>
        <v>66.599999999999994</v>
      </c>
      <c r="L138" s="72">
        <f t="shared" si="61"/>
        <v>8.2523986725471329E-2</v>
      </c>
      <c r="M138" s="73">
        <f t="shared" si="62"/>
        <v>1.4403162516451224E-3</v>
      </c>
      <c r="N138" s="73">
        <f t="shared" si="63"/>
        <v>0.99999896274616151</v>
      </c>
      <c r="O138" s="74">
        <f t="shared" si="64"/>
        <v>1.0372538385613103E-4</v>
      </c>
      <c r="P138" s="75">
        <f t="shared" si="65"/>
        <v>1.0000010372549144</v>
      </c>
      <c r="Q138" s="37">
        <f t="shared" si="66"/>
        <v>0.3000003111764743</v>
      </c>
      <c r="R138" s="43">
        <f t="shared" si="67"/>
        <v>66.600000622352951</v>
      </c>
      <c r="S138" s="76">
        <f t="shared" si="68"/>
        <v>1.4403147576715618E-3</v>
      </c>
      <c r="T138">
        <v>7.8</v>
      </c>
      <c r="U138" s="47">
        <f t="shared" si="69"/>
        <v>487.14689287584525</v>
      </c>
    </row>
    <row r="139" spans="1:21" ht="15" customHeight="1" thickBot="1">
      <c r="A139">
        <v>66.5</v>
      </c>
      <c r="B139" t="s">
        <v>143</v>
      </c>
      <c r="C139">
        <v>0.3</v>
      </c>
      <c r="D139">
        <v>0.3</v>
      </c>
      <c r="E139" s="37">
        <f t="shared" si="56"/>
        <v>66.8</v>
      </c>
      <c r="F139">
        <v>0</v>
      </c>
      <c r="G139" s="71">
        <f t="shared" si="57"/>
        <v>1</v>
      </c>
      <c r="H139" s="39">
        <f t="shared" si="58"/>
        <v>0.3</v>
      </c>
      <c r="I139">
        <v>0.3</v>
      </c>
      <c r="J139" s="71">
        <f t="shared" si="59"/>
        <v>0.3</v>
      </c>
      <c r="K139" s="71">
        <f t="shared" si="60"/>
        <v>67.099999999999994</v>
      </c>
      <c r="L139" s="72">
        <f t="shared" si="61"/>
        <v>8.1906293058760141E-2</v>
      </c>
      <c r="M139" s="73">
        <f t="shared" si="62"/>
        <v>1.4295354413783176E-3</v>
      </c>
      <c r="N139" s="73">
        <f t="shared" si="63"/>
        <v>0.99999897821577699</v>
      </c>
      <c r="O139" s="74">
        <f t="shared" si="64"/>
        <v>1.0217842229727955E-4</v>
      </c>
      <c r="P139" s="75">
        <f t="shared" si="65"/>
        <v>1.0000010217852671</v>
      </c>
      <c r="Q139" s="37">
        <f t="shared" si="66"/>
        <v>0.30000030653558013</v>
      </c>
      <c r="R139" s="43">
        <f t="shared" si="67"/>
        <v>67.10000061307116</v>
      </c>
      <c r="S139" s="76">
        <f t="shared" si="68"/>
        <v>1.4295339807015573E-3</v>
      </c>
      <c r="T139">
        <v>7.8</v>
      </c>
      <c r="U139" s="47">
        <f t="shared" si="69"/>
        <v>490.82068527745349</v>
      </c>
    </row>
    <row r="140" spans="1:21" ht="15" customHeight="1" thickBot="1">
      <c r="A140">
        <v>67</v>
      </c>
      <c r="B140" t="s">
        <v>143</v>
      </c>
      <c r="C140">
        <v>0.3</v>
      </c>
      <c r="D140">
        <v>0.3</v>
      </c>
      <c r="E140" s="37">
        <f t="shared" si="56"/>
        <v>67.3</v>
      </c>
      <c r="F140">
        <v>0</v>
      </c>
      <c r="G140" s="71">
        <f t="shared" si="57"/>
        <v>1</v>
      </c>
      <c r="H140" s="39">
        <f t="shared" si="58"/>
        <v>0.3</v>
      </c>
      <c r="I140">
        <v>0.3</v>
      </c>
      <c r="J140" s="71">
        <f t="shared" si="59"/>
        <v>0.3</v>
      </c>
      <c r="K140" s="71">
        <f t="shared" si="60"/>
        <v>67.599999999999994</v>
      </c>
      <c r="L140" s="72">
        <f t="shared" si="61"/>
        <v>8.1297777585418077E-2</v>
      </c>
      <c r="M140" s="73">
        <f t="shared" si="62"/>
        <v>1.4189148214572304E-3</v>
      </c>
      <c r="N140" s="73">
        <f t="shared" si="63"/>
        <v>0.9999989933418848</v>
      </c>
      <c r="O140" s="74">
        <f t="shared" si="64"/>
        <v>1.0066581151990661E-4</v>
      </c>
      <c r="P140" s="75">
        <f t="shared" si="65"/>
        <v>1.0000010066591285</v>
      </c>
      <c r="Q140" s="37">
        <f t="shared" si="66"/>
        <v>0.30000030199773853</v>
      </c>
      <c r="R140" s="43">
        <f t="shared" si="67"/>
        <v>67.600000603995483</v>
      </c>
      <c r="S140" s="76">
        <f t="shared" si="68"/>
        <v>1.4189133930951104E-3</v>
      </c>
      <c r="T140">
        <v>7.8</v>
      </c>
      <c r="U140" s="47">
        <f t="shared" si="69"/>
        <v>494.49447779221538</v>
      </c>
    </row>
    <row r="141" spans="1:21" ht="15" customHeight="1" thickBot="1">
      <c r="A141">
        <v>67.5</v>
      </c>
      <c r="B141" t="s">
        <v>143</v>
      </c>
      <c r="C141">
        <v>0.3</v>
      </c>
      <c r="D141">
        <v>0.3</v>
      </c>
      <c r="E141" s="37">
        <f t="shared" si="56"/>
        <v>67.8</v>
      </c>
      <c r="F141">
        <v>0</v>
      </c>
      <c r="G141" s="71">
        <f t="shared" si="57"/>
        <v>1</v>
      </c>
      <c r="H141" s="39">
        <f t="shared" si="58"/>
        <v>0.3</v>
      </c>
      <c r="I141">
        <v>0.3</v>
      </c>
      <c r="J141" s="71">
        <f t="shared" si="59"/>
        <v>0.3</v>
      </c>
      <c r="K141" s="71">
        <f t="shared" si="60"/>
        <v>68.099999999999994</v>
      </c>
      <c r="L141" s="72">
        <f t="shared" si="61"/>
        <v>8.0698237248612914E-2</v>
      </c>
      <c r="M141" s="73">
        <f t="shared" si="62"/>
        <v>1.4084508478476639E-3</v>
      </c>
      <c r="N141" s="73">
        <f t="shared" si="63"/>
        <v>0.99999900813458031</v>
      </c>
      <c r="O141" s="74">
        <f t="shared" si="64"/>
        <v>9.9186541961208505E-5</v>
      </c>
      <c r="P141" s="75">
        <f t="shared" si="65"/>
        <v>1.0000009918664035</v>
      </c>
      <c r="Q141" s="37">
        <f t="shared" si="66"/>
        <v>0.30000029755992103</v>
      </c>
      <c r="R141" s="43">
        <f t="shared" si="67"/>
        <v>68.100000595119837</v>
      </c>
      <c r="S141" s="76">
        <f t="shared" si="68"/>
        <v>1.4084494508539726E-3</v>
      </c>
      <c r="T141">
        <v>7.8</v>
      </c>
      <c r="U141" s="47">
        <f t="shared" si="69"/>
        <v>498.1682704176223</v>
      </c>
    </row>
    <row r="142" spans="1:21" ht="15" customHeight="1" thickBot="1">
      <c r="A142">
        <v>68</v>
      </c>
      <c r="B142" t="s">
        <v>143</v>
      </c>
      <c r="C142">
        <v>0.3</v>
      </c>
      <c r="D142">
        <v>0.3</v>
      </c>
      <c r="E142" s="37">
        <f t="shared" si="56"/>
        <v>68.3</v>
      </c>
      <c r="F142">
        <v>0</v>
      </c>
      <c r="G142" s="71">
        <f t="shared" si="57"/>
        <v>1</v>
      </c>
      <c r="H142" s="39">
        <f t="shared" si="58"/>
        <v>0.3</v>
      </c>
      <c r="I142">
        <v>0.3</v>
      </c>
      <c r="J142" s="71">
        <f t="shared" si="59"/>
        <v>0.3</v>
      </c>
      <c r="K142" s="71">
        <f t="shared" si="60"/>
        <v>68.599999999999994</v>
      </c>
      <c r="L142" s="72">
        <f t="shared" si="61"/>
        <v>8.0107474937519907E-2</v>
      </c>
      <c r="M142" s="73">
        <f t="shared" si="62"/>
        <v>1.3981400802938742E-3</v>
      </c>
      <c r="N142" s="73">
        <f t="shared" si="63"/>
        <v>0.99999902260359086</v>
      </c>
      <c r="O142" s="74">
        <f t="shared" si="64"/>
        <v>9.7739640917785905E-5</v>
      </c>
      <c r="P142" s="75">
        <f t="shared" si="65"/>
        <v>1.0000009773973646</v>
      </c>
      <c r="Q142" s="37">
        <f t="shared" si="66"/>
        <v>0.30000029321920935</v>
      </c>
      <c r="R142" s="43">
        <f t="shared" si="67"/>
        <v>68.600000586438412</v>
      </c>
      <c r="S142" s="76">
        <f t="shared" si="68"/>
        <v>1.3981387137567802E-3</v>
      </c>
      <c r="T142">
        <v>7.8</v>
      </c>
      <c r="U142" s="47">
        <f t="shared" si="69"/>
        <v>501.84206315123907</v>
      </c>
    </row>
    <row r="143" spans="1:21" ht="15" customHeight="1" thickBot="1">
      <c r="A143">
        <v>68.5</v>
      </c>
      <c r="B143" t="s">
        <v>143</v>
      </c>
      <c r="C143">
        <v>0.3</v>
      </c>
      <c r="D143">
        <v>0.3</v>
      </c>
      <c r="E143" s="37">
        <f t="shared" si="56"/>
        <v>68.8</v>
      </c>
      <c r="F143">
        <v>0</v>
      </c>
      <c r="G143" s="71">
        <f t="shared" si="57"/>
        <v>1</v>
      </c>
      <c r="H143" s="39">
        <f t="shared" si="58"/>
        <v>0.3</v>
      </c>
      <c r="I143">
        <v>0.3</v>
      </c>
      <c r="J143" s="71">
        <f t="shared" si="59"/>
        <v>0.3</v>
      </c>
      <c r="K143" s="71">
        <f t="shared" si="60"/>
        <v>69.099999999999994</v>
      </c>
      <c r="L143" s="72">
        <f t="shared" si="61"/>
        <v>7.9525299271261604E-2</v>
      </c>
      <c r="M143" s="73">
        <f t="shared" si="62"/>
        <v>1.3879791785475525E-3</v>
      </c>
      <c r="N143" s="73">
        <f t="shared" si="63"/>
        <v>0.99999903675829172</v>
      </c>
      <c r="O143" s="74">
        <f t="shared" si="64"/>
        <v>9.6324170824798244E-5</v>
      </c>
      <c r="P143" s="75">
        <f t="shared" si="65"/>
        <v>1.0000009632426361</v>
      </c>
      <c r="Q143" s="37">
        <f t="shared" si="66"/>
        <v>0.3000002889727908</v>
      </c>
      <c r="R143" s="43">
        <f t="shared" si="67"/>
        <v>69.100000577945579</v>
      </c>
      <c r="S143" s="76">
        <f t="shared" si="68"/>
        <v>1.3879778415881174E-3</v>
      </c>
      <c r="T143">
        <v>7.8</v>
      </c>
      <c r="U143" s="47">
        <f t="shared" si="69"/>
        <v>505.51585599070086</v>
      </c>
    </row>
    <row r="144" spans="1:21" ht="15" customHeight="1" thickBot="1">
      <c r="A144">
        <v>69</v>
      </c>
      <c r="B144" t="s">
        <v>143</v>
      </c>
      <c r="C144">
        <v>0.3</v>
      </c>
      <c r="D144">
        <v>0.3</v>
      </c>
      <c r="E144" s="37">
        <f t="shared" si="56"/>
        <v>69.3</v>
      </c>
      <c r="F144">
        <v>0</v>
      </c>
      <c r="G144" s="71">
        <f t="shared" si="57"/>
        <v>1</v>
      </c>
      <c r="H144" s="39">
        <f t="shared" si="58"/>
        <v>0.3</v>
      </c>
      <c r="I144">
        <v>0.3</v>
      </c>
      <c r="J144" s="71">
        <f t="shared" si="59"/>
        <v>0.3</v>
      </c>
      <c r="K144" s="71">
        <f t="shared" si="60"/>
        <v>69.599999999999994</v>
      </c>
      <c r="L144" s="72">
        <f t="shared" si="61"/>
        <v>7.895152439220042E-2</v>
      </c>
      <c r="M144" s="73">
        <f t="shared" si="62"/>
        <v>1.377964898760052E-3</v>
      </c>
      <c r="N144" s="73">
        <f t="shared" si="63"/>
        <v>0.99999905060772087</v>
      </c>
      <c r="O144" s="74">
        <f t="shared" si="64"/>
        <v>9.4939227905192311E-5</v>
      </c>
      <c r="P144" s="75">
        <f t="shared" si="65"/>
        <v>1.0000009493931805</v>
      </c>
      <c r="Q144" s="37">
        <f t="shared" si="66"/>
        <v>0.30000028481795415</v>
      </c>
      <c r="R144" s="43">
        <f t="shared" si="67"/>
        <v>69.60000056963591</v>
      </c>
      <c r="S144" s="76">
        <f t="shared" si="68"/>
        <v>1.3779635905308161E-3</v>
      </c>
      <c r="T144">
        <v>7.8</v>
      </c>
      <c r="U144" s="47">
        <f t="shared" si="69"/>
        <v>509.18964893371208</v>
      </c>
    </row>
    <row r="145" spans="1:21" ht="15" customHeight="1" thickBot="1">
      <c r="A145">
        <v>69.5</v>
      </c>
      <c r="B145" t="s">
        <v>143</v>
      </c>
      <c r="C145">
        <v>0.3</v>
      </c>
      <c r="D145">
        <v>0.3</v>
      </c>
      <c r="E145" s="37">
        <f t="shared" si="56"/>
        <v>69.8</v>
      </c>
      <c r="F145">
        <v>0</v>
      </c>
      <c r="G145" s="71">
        <f t="shared" si="57"/>
        <v>1</v>
      </c>
      <c r="H145" s="39">
        <f t="shared" si="58"/>
        <v>0.3</v>
      </c>
      <c r="I145">
        <v>0.3</v>
      </c>
      <c r="J145" s="71">
        <f t="shared" si="59"/>
        <v>0.3</v>
      </c>
      <c r="K145" s="71">
        <f t="shared" si="60"/>
        <v>70.099999999999994</v>
      </c>
      <c r="L145" s="72">
        <f t="shared" si="61"/>
        <v>7.8385969768115654E-2</v>
      </c>
      <c r="M145" s="73">
        <f t="shared" si="62"/>
        <v>1.3680940900296793E-3</v>
      </c>
      <c r="N145" s="73">
        <f t="shared" si="63"/>
        <v>0.99999906416059414</v>
      </c>
      <c r="O145" s="74">
        <f t="shared" si="64"/>
        <v>9.3583940578382638E-5</v>
      </c>
      <c r="P145" s="75">
        <f t="shared" si="65"/>
        <v>1.0000009358402817</v>
      </c>
      <c r="Q145" s="37">
        <f t="shared" si="66"/>
        <v>0.30000028075208451</v>
      </c>
      <c r="R145" s="43">
        <f t="shared" si="67"/>
        <v>70.100000561504174</v>
      </c>
      <c r="S145" s="76">
        <f t="shared" si="68"/>
        <v>1.3680928097133188E-3</v>
      </c>
      <c r="T145">
        <v>7.8</v>
      </c>
      <c r="U145" s="47">
        <f t="shared" si="69"/>
        <v>512.86344197804249</v>
      </c>
    </row>
    <row r="146" spans="1:21" ht="15" customHeight="1" thickBot="1">
      <c r="A146">
        <v>70</v>
      </c>
      <c r="B146" t="s">
        <v>143</v>
      </c>
      <c r="C146">
        <v>0.3</v>
      </c>
      <c r="D146">
        <v>0.3</v>
      </c>
      <c r="E146" s="37">
        <f t="shared" si="56"/>
        <v>70.3</v>
      </c>
      <c r="F146">
        <v>0</v>
      </c>
      <c r="G146" s="71">
        <f t="shared" si="57"/>
        <v>1</v>
      </c>
      <c r="H146" s="39">
        <f t="shared" si="58"/>
        <v>0.3</v>
      </c>
      <c r="I146">
        <v>0.3</v>
      </c>
      <c r="J146" s="71">
        <f t="shared" si="59"/>
        <v>0.3</v>
      </c>
      <c r="K146" s="71">
        <f t="shared" si="60"/>
        <v>70.599999999999994</v>
      </c>
      <c r="L146" s="72">
        <f t="shared" si="61"/>
        <v>7.7828460002822369E-2</v>
      </c>
      <c r="M146" s="73">
        <f t="shared" si="62"/>
        <v>1.3583636910963245E-3</v>
      </c>
      <c r="N146" s="73">
        <f t="shared" si="63"/>
        <v>0.99999907742531813</v>
      </c>
      <c r="O146" s="74">
        <f t="shared" si="64"/>
        <v>9.2257468183494978E-5</v>
      </c>
      <c r="P146" s="75">
        <f t="shared" si="65"/>
        <v>1.0000009225755329</v>
      </c>
      <c r="Q146" s="37">
        <f t="shared" si="66"/>
        <v>0.30000027677265984</v>
      </c>
      <c r="R146" s="43">
        <f t="shared" si="67"/>
        <v>70.600000553545314</v>
      </c>
      <c r="S146" s="76">
        <f t="shared" si="68"/>
        <v>1.3583624379043741E-3</v>
      </c>
      <c r="T146">
        <v>7.8</v>
      </c>
      <c r="U146" s="47">
        <f t="shared" si="69"/>
        <v>516.53723512152578</v>
      </c>
    </row>
    <row r="147" spans="1:21" ht="15" customHeight="1" thickBot="1">
      <c r="A147">
        <v>70.5</v>
      </c>
      <c r="B147" t="s">
        <v>143</v>
      </c>
      <c r="C147">
        <v>0.3</v>
      </c>
      <c r="D147">
        <v>0.3</v>
      </c>
      <c r="E147" s="37">
        <f t="shared" si="56"/>
        <v>70.8</v>
      </c>
      <c r="F147">
        <v>0</v>
      </c>
      <c r="G147" s="71">
        <f t="shared" si="57"/>
        <v>1</v>
      </c>
      <c r="H147" s="39">
        <f t="shared" si="58"/>
        <v>0.3</v>
      </c>
      <c r="I147">
        <v>0.3</v>
      </c>
      <c r="J147" s="71">
        <f t="shared" si="59"/>
        <v>0.3</v>
      </c>
      <c r="K147" s="71">
        <f t="shared" si="60"/>
        <v>71.099999999999994</v>
      </c>
      <c r="L147" s="72">
        <f t="shared" si="61"/>
        <v>7.7278824654814893E-2</v>
      </c>
      <c r="M147" s="73">
        <f t="shared" si="62"/>
        <v>1.3487707271761526E-3</v>
      </c>
      <c r="N147" s="73">
        <f t="shared" si="63"/>
        <v>0.99999909041000379</v>
      </c>
      <c r="O147" s="74">
        <f t="shared" si="64"/>
        <v>9.0958999628594966E-5</v>
      </c>
      <c r="P147" s="75">
        <f t="shared" si="65"/>
        <v>1.0000009095908238</v>
      </c>
      <c r="Q147" s="37">
        <f t="shared" si="66"/>
        <v>0.30000027287724712</v>
      </c>
      <c r="R147" s="43">
        <f t="shared" si="67"/>
        <v>71.100000545754497</v>
      </c>
      <c r="S147" s="76">
        <f t="shared" si="68"/>
        <v>1.3487695003477919E-3</v>
      </c>
      <c r="T147">
        <v>7.8</v>
      </c>
      <c r="U147" s="47">
        <f t="shared" si="69"/>
        <v>520.21102836205728</v>
      </c>
    </row>
    <row r="148" spans="1:21" ht="15" customHeight="1" thickBot="1">
      <c r="A148">
        <v>71</v>
      </c>
      <c r="B148" t="s">
        <v>143</v>
      </c>
      <c r="C148">
        <v>0.3</v>
      </c>
      <c r="D148">
        <v>0.3</v>
      </c>
      <c r="E148" s="37">
        <f t="shared" si="56"/>
        <v>71.3</v>
      </c>
      <c r="F148">
        <v>0</v>
      </c>
      <c r="G148" s="71">
        <f t="shared" si="57"/>
        <v>1</v>
      </c>
      <c r="H148" s="39">
        <f t="shared" si="58"/>
        <v>0.3</v>
      </c>
      <c r="I148">
        <v>0.3</v>
      </c>
      <c r="J148" s="71">
        <f t="shared" si="59"/>
        <v>0.3</v>
      </c>
      <c r="K148" s="71">
        <f t="shared" si="60"/>
        <v>71.599999999999994</v>
      </c>
      <c r="L148" s="72">
        <f t="shared" si="61"/>
        <v>7.6736898063540948E-2</v>
      </c>
      <c r="M148" s="73">
        <f t="shared" si="62"/>
        <v>1.3393123069294756E-3</v>
      </c>
      <c r="N148" s="73">
        <f t="shared" si="63"/>
        <v>0.99999910312247886</v>
      </c>
      <c r="O148" s="74">
        <f t="shared" si="64"/>
        <v>8.9687752113931651E-5</v>
      </c>
      <c r="P148" s="75">
        <f t="shared" si="65"/>
        <v>1.0000008968783254</v>
      </c>
      <c r="Q148" s="37">
        <f t="shared" si="66"/>
        <v>0.30000026906349758</v>
      </c>
      <c r="R148" s="43">
        <f t="shared" si="67"/>
        <v>71.600000538126992</v>
      </c>
      <c r="S148" s="76">
        <f t="shared" si="68"/>
        <v>1.3393111057303736E-3</v>
      </c>
      <c r="T148">
        <v>7.8</v>
      </c>
      <c r="U148" s="47">
        <f t="shared" si="69"/>
        <v>523.88482169758993</v>
      </c>
    </row>
    <row r="149" spans="1:21" ht="15" customHeight="1" thickBot="1">
      <c r="A149">
        <v>71.5</v>
      </c>
      <c r="B149" t="s">
        <v>143</v>
      </c>
      <c r="C149">
        <v>0.3</v>
      </c>
      <c r="D149">
        <v>0.3</v>
      </c>
      <c r="E149" s="37">
        <f t="shared" si="56"/>
        <v>71.8</v>
      </c>
      <c r="F149">
        <v>0</v>
      </c>
      <c r="G149" s="71">
        <f t="shared" si="57"/>
        <v>1</v>
      </c>
      <c r="H149" s="39">
        <f t="shared" si="58"/>
        <v>0.3</v>
      </c>
      <c r="I149">
        <v>0.3</v>
      </c>
      <c r="J149" s="71">
        <f t="shared" si="59"/>
        <v>0.3</v>
      </c>
      <c r="K149" s="71">
        <f t="shared" si="60"/>
        <v>72.099999999999994</v>
      </c>
      <c r="L149" s="72">
        <f t="shared" si="61"/>
        <v>7.6202519182934539E-2</v>
      </c>
      <c r="M149" s="73">
        <f t="shared" si="62"/>
        <v>1.3299856195553149E-3</v>
      </c>
      <c r="N149" s="73">
        <f t="shared" si="63"/>
        <v>0.99999911557029919</v>
      </c>
      <c r="O149" s="74">
        <f t="shared" si="64"/>
        <v>8.8442970077225652E-5</v>
      </c>
      <c r="P149" s="75">
        <f t="shared" si="65"/>
        <v>1.0000008844304831</v>
      </c>
      <c r="Q149" s="37">
        <f t="shared" si="66"/>
        <v>0.30000026532914492</v>
      </c>
      <c r="R149" s="43">
        <f t="shared" si="67"/>
        <v>72.100000530658292</v>
      </c>
      <c r="S149" s="76">
        <f t="shared" si="68"/>
        <v>1.3299844432765311E-3</v>
      </c>
      <c r="T149">
        <v>7.8</v>
      </c>
      <c r="U149" s="47">
        <f t="shared" si="69"/>
        <v>527.55861512613603</v>
      </c>
    </row>
    <row r="150" spans="1:21" ht="15" customHeight="1" thickBot="1">
      <c r="A150">
        <v>72</v>
      </c>
      <c r="B150" t="s">
        <v>143</v>
      </c>
      <c r="C150">
        <v>0.3</v>
      </c>
      <c r="D150">
        <v>0.3</v>
      </c>
      <c r="E150" s="37">
        <f t="shared" si="56"/>
        <v>72.3</v>
      </c>
      <c r="F150">
        <v>0</v>
      </c>
      <c r="G150" s="71">
        <f t="shared" si="57"/>
        <v>1</v>
      </c>
      <c r="H150" s="39">
        <f t="shared" si="58"/>
        <v>0.3</v>
      </c>
      <c r="I150">
        <v>0.3</v>
      </c>
      <c r="J150" s="71">
        <f t="shared" si="59"/>
        <v>0.3</v>
      </c>
      <c r="K150" s="71">
        <f t="shared" si="60"/>
        <v>72.599999999999994</v>
      </c>
      <c r="L150" s="72">
        <f t="shared" si="61"/>
        <v>7.567553142185611E-2</v>
      </c>
      <c r="M150" s="73">
        <f t="shared" si="62"/>
        <v>1.3207879320065231E-3</v>
      </c>
      <c r="N150" s="73">
        <f t="shared" si="63"/>
        <v>0.9999991277607605</v>
      </c>
      <c r="O150" s="74">
        <f t="shared" si="64"/>
        <v>8.7223923953920021E-5</v>
      </c>
      <c r="P150" s="75">
        <f t="shared" si="65"/>
        <v>1.0000008722400004</v>
      </c>
      <c r="Q150" s="37">
        <f t="shared" si="66"/>
        <v>0.30000026167200011</v>
      </c>
      <c r="R150" s="43">
        <f t="shared" si="67"/>
        <v>72.600000523343994</v>
      </c>
      <c r="S150" s="76">
        <f t="shared" si="68"/>
        <v>1.3207867799634619E-3</v>
      </c>
      <c r="T150">
        <v>7.8</v>
      </c>
      <c r="U150" s="47">
        <f t="shared" si="69"/>
        <v>531.23240864576132</v>
      </c>
    </row>
    <row r="151" spans="1:21" ht="15" customHeight="1" thickBot="1">
      <c r="A151">
        <v>72.5</v>
      </c>
      <c r="B151" t="s">
        <v>143</v>
      </c>
      <c r="C151">
        <v>0.3</v>
      </c>
      <c r="D151">
        <v>0.3</v>
      </c>
      <c r="E151" s="37">
        <f t="shared" si="56"/>
        <v>72.8</v>
      </c>
      <c r="F151">
        <v>0</v>
      </c>
      <c r="G151" s="71">
        <f t="shared" si="57"/>
        <v>1</v>
      </c>
      <c r="H151" s="39">
        <f t="shared" si="58"/>
        <v>0.3</v>
      </c>
      <c r="I151">
        <v>0.3</v>
      </c>
      <c r="J151" s="71">
        <f t="shared" si="59"/>
        <v>0.3</v>
      </c>
      <c r="K151" s="71">
        <f t="shared" si="60"/>
        <v>73.099999999999994</v>
      </c>
      <c r="L151" s="72">
        <f t="shared" si="61"/>
        <v>7.5155782491107936E-2</v>
      </c>
      <c r="M151" s="73">
        <f t="shared" si="62"/>
        <v>1.311716586319665E-3</v>
      </c>
      <c r="N151" s="73">
        <f t="shared" si="63"/>
        <v>0.99999913970090881</v>
      </c>
      <c r="O151" s="74">
        <f t="shared" si="64"/>
        <v>8.6029909122468481E-5</v>
      </c>
      <c r="P151" s="75">
        <f t="shared" si="65"/>
        <v>1.0000008602998314</v>
      </c>
      <c r="Q151" s="37">
        <f t="shared" si="66"/>
        <v>0.3000002580899494</v>
      </c>
      <c r="R151" s="43">
        <f t="shared" si="67"/>
        <v>73.100000516179904</v>
      </c>
      <c r="S151" s="76">
        <f t="shared" si="68"/>
        <v>1.3117154578510778E-3</v>
      </c>
      <c r="T151">
        <v>7.8</v>
      </c>
      <c r="U151" s="47">
        <f t="shared" si="69"/>
        <v>534.9062022545852</v>
      </c>
    </row>
    <row r="152" spans="1:21" ht="15" customHeight="1" thickBot="1">
      <c r="A152">
        <v>73</v>
      </c>
      <c r="B152" t="s">
        <v>143</v>
      </c>
      <c r="C152">
        <v>0.3</v>
      </c>
      <c r="D152">
        <v>0.3</v>
      </c>
      <c r="E152" s="37">
        <f t="shared" si="56"/>
        <v>73.3</v>
      </c>
      <c r="F152">
        <v>0</v>
      </c>
      <c r="G152" s="71">
        <f t="shared" si="57"/>
        <v>1</v>
      </c>
      <c r="H152" s="39">
        <f t="shared" si="58"/>
        <v>0.3</v>
      </c>
      <c r="I152">
        <v>0.3</v>
      </c>
      <c r="J152" s="71">
        <f t="shared" si="59"/>
        <v>0.3</v>
      </c>
      <c r="K152" s="71">
        <f t="shared" si="60"/>
        <v>73.599999999999994</v>
      </c>
      <c r="L152" s="72">
        <f t="shared" si="61"/>
        <v>7.4643124256710977E-2</v>
      </c>
      <c r="M152" s="73">
        <f t="shared" si="62"/>
        <v>1.3027689970541831E-3</v>
      </c>
      <c r="N152" s="73">
        <f t="shared" si="63"/>
        <v>0.99999915139755036</v>
      </c>
      <c r="O152" s="74">
        <f t="shared" si="64"/>
        <v>8.4860244960645786E-5</v>
      </c>
      <c r="P152" s="75">
        <f t="shared" si="65"/>
        <v>1.0000008486031697</v>
      </c>
      <c r="Q152" s="37">
        <f t="shared" si="66"/>
        <v>0.30000025458095092</v>
      </c>
      <c r="R152" s="43">
        <f t="shared" si="67"/>
        <v>73.600000509161902</v>
      </c>
      <c r="S152" s="76">
        <f t="shared" si="68"/>
        <v>1.3027678915212208E-3</v>
      </c>
      <c r="T152">
        <v>7.8</v>
      </c>
      <c r="U152" s="47">
        <f t="shared" si="69"/>
        <v>538.57999595077899</v>
      </c>
    </row>
    <row r="153" spans="1:21" ht="15" customHeight="1" thickBot="1">
      <c r="A153">
        <v>73.5</v>
      </c>
      <c r="B153" t="s">
        <v>143</v>
      </c>
      <c r="C153">
        <v>0.3</v>
      </c>
      <c r="D153">
        <v>0.3</v>
      </c>
      <c r="E153" s="37">
        <f t="shared" si="56"/>
        <v>73.8</v>
      </c>
      <c r="F153">
        <v>0</v>
      </c>
      <c r="G153" s="71">
        <f t="shared" si="57"/>
        <v>1</v>
      </c>
      <c r="H153" s="39">
        <f t="shared" si="58"/>
        <v>0.3</v>
      </c>
      <c r="I153">
        <v>0.3</v>
      </c>
      <c r="J153" s="71">
        <f t="shared" si="59"/>
        <v>0.3</v>
      </c>
      <c r="K153" s="71">
        <f t="shared" si="60"/>
        <v>74.099999999999994</v>
      </c>
      <c r="L153" s="72">
        <f t="shared" si="61"/>
        <v>7.4137412599145691E-2</v>
      </c>
      <c r="M153" s="73">
        <f t="shared" si="62"/>
        <v>1.2939426488356588E-3</v>
      </c>
      <c r="N153" s="73">
        <f t="shared" si="63"/>
        <v>0.99999916285726198</v>
      </c>
      <c r="O153" s="74">
        <f t="shared" si="64"/>
        <v>8.3714273809339573E-5</v>
      </c>
      <c r="P153" s="75">
        <f t="shared" si="65"/>
        <v>1.000000837143439</v>
      </c>
      <c r="Q153" s="37">
        <f t="shared" si="66"/>
        <v>0.30000025114303169</v>
      </c>
      <c r="R153" s="43">
        <f t="shared" si="67"/>
        <v>74.100000502286065</v>
      </c>
      <c r="S153" s="76">
        <f t="shared" si="68"/>
        <v>1.2939415656209666E-3</v>
      </c>
      <c r="T153">
        <v>7.8</v>
      </c>
      <c r="U153" s="47">
        <f t="shared" si="69"/>
        <v>542.25378973256318</v>
      </c>
    </row>
    <row r="154" spans="1:21" ht="15" customHeight="1" thickBot="1">
      <c r="A154">
        <v>74</v>
      </c>
      <c r="B154" t="s">
        <v>143</v>
      </c>
      <c r="C154">
        <v>0.3</v>
      </c>
      <c r="D154">
        <v>0.3</v>
      </c>
      <c r="E154" s="37">
        <f t="shared" si="56"/>
        <v>74.3</v>
      </c>
      <c r="F154">
        <v>0</v>
      </c>
      <c r="G154" s="71">
        <f t="shared" si="57"/>
        <v>1</v>
      </c>
      <c r="H154" s="39">
        <f t="shared" si="58"/>
        <v>0.3</v>
      </c>
      <c r="I154">
        <v>0.3</v>
      </c>
      <c r="J154" s="71">
        <f t="shared" si="59"/>
        <v>0.3</v>
      </c>
      <c r="K154" s="71">
        <f t="shared" si="60"/>
        <v>74.599999999999994</v>
      </c>
      <c r="L154" s="72">
        <f t="shared" si="61"/>
        <v>7.3638507278276685E-2</v>
      </c>
      <c r="M154" s="73">
        <f t="shared" si="62"/>
        <v>1.2852350939982719E-3</v>
      </c>
      <c r="N154" s="73">
        <f t="shared" si="63"/>
        <v>0.99999917408639982</v>
      </c>
      <c r="O154" s="74">
        <f t="shared" si="64"/>
        <v>8.2591360010357093E-5</v>
      </c>
      <c r="P154" s="75">
        <f t="shared" si="65"/>
        <v>1.0000008259142823</v>
      </c>
      <c r="Q154" s="37">
        <f t="shared" si="66"/>
        <v>0.30000024777428469</v>
      </c>
      <c r="R154" s="43">
        <f t="shared" si="67"/>
        <v>74.600000495548571</v>
      </c>
      <c r="S154" s="76">
        <f t="shared" si="68"/>
        <v>1.2852340325051285E-3</v>
      </c>
      <c r="T154">
        <v>7.8</v>
      </c>
      <c r="U154" s="47">
        <f t="shared" si="69"/>
        <v>545.92758359820584</v>
      </c>
    </row>
    <row r="155" spans="1:21">
      <c r="A155">
        <v>74.5</v>
      </c>
      <c r="B155" t="s">
        <v>143</v>
      </c>
      <c r="C155">
        <v>0.3</v>
      </c>
      <c r="D155">
        <v>0.3</v>
      </c>
      <c r="E155" s="37">
        <f t="shared" si="56"/>
        <v>74.8</v>
      </c>
      <c r="F155">
        <v>0</v>
      </c>
      <c r="G155" s="71">
        <f t="shared" si="57"/>
        <v>1</v>
      </c>
      <c r="H155" s="39">
        <f t="shared" si="58"/>
        <v>0.3</v>
      </c>
      <c r="I155">
        <v>0.3</v>
      </c>
      <c r="J155" s="71">
        <f t="shared" si="59"/>
        <v>0.3</v>
      </c>
      <c r="K155" s="71">
        <f t="shared" si="60"/>
        <v>75.099999999999994</v>
      </c>
      <c r="L155" s="72">
        <f t="shared" si="61"/>
        <v>7.3146271803694402E-2</v>
      </c>
      <c r="M155" s="73">
        <f t="shared" si="62"/>
        <v>1.276643950321813E-3</v>
      </c>
      <c r="N155" s="73">
        <f t="shared" si="63"/>
        <v>0.99999918509110819</v>
      </c>
      <c r="O155" s="74">
        <f t="shared" si="64"/>
        <v>8.1490889184780243E-5</v>
      </c>
      <c r="P155" s="75">
        <f t="shared" si="65"/>
        <v>1.0000008149095558</v>
      </c>
      <c r="Q155" s="37">
        <f t="shared" si="66"/>
        <v>0.30000024447286672</v>
      </c>
      <c r="R155" s="43">
        <f t="shared" si="67"/>
        <v>75.100000488945739</v>
      </c>
      <c r="S155" s="76">
        <f t="shared" si="68"/>
        <v>1.2766429099733063E-3</v>
      </c>
      <c r="T155">
        <v>7.8</v>
      </c>
      <c r="U155" s="47">
        <f t="shared" si="69"/>
        <v>549.60137754602283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24"/>
  <dimension ref="A2:Z79"/>
  <sheetViews>
    <sheetView topLeftCell="A13" workbookViewId="0">
      <selection activeCell="B23" sqref="B23:Y23"/>
    </sheetView>
  </sheetViews>
  <sheetFormatPr defaultRowHeight="15"/>
  <sheetData>
    <row r="2" spans="1:26">
      <c r="A2" t="s">
        <v>144</v>
      </c>
    </row>
    <row r="4" spans="1:26">
      <c r="A4" t="s">
        <v>145</v>
      </c>
      <c r="B4" t="s">
        <v>146</v>
      </c>
      <c r="C4" t="s">
        <v>147</v>
      </c>
      <c r="D4" t="s">
        <v>148</v>
      </c>
    </row>
    <row r="7" spans="1:26" ht="115.15" customHeight="1">
      <c r="A7" s="2" t="s">
        <v>106</v>
      </c>
      <c r="B7" s="2" t="s">
        <v>149</v>
      </c>
      <c r="C7" s="2" t="s">
        <v>150</v>
      </c>
      <c r="D7" s="2" t="s">
        <v>151</v>
      </c>
      <c r="E7" s="2" t="s">
        <v>110</v>
      </c>
      <c r="F7" s="2" t="s">
        <v>111</v>
      </c>
      <c r="G7" s="2" t="s">
        <v>112</v>
      </c>
      <c r="H7" s="2" t="s">
        <v>113</v>
      </c>
      <c r="I7" s="2" t="s">
        <v>114</v>
      </c>
      <c r="J7" s="2" t="s">
        <v>115</v>
      </c>
      <c r="K7" s="2" t="s">
        <v>116</v>
      </c>
      <c r="L7" s="2" t="s">
        <v>152</v>
      </c>
      <c r="M7" s="2" t="s">
        <v>118</v>
      </c>
      <c r="N7" s="2" t="s">
        <v>119</v>
      </c>
      <c r="O7" s="2" t="s">
        <v>153</v>
      </c>
      <c r="P7" s="2" t="s">
        <v>112</v>
      </c>
      <c r="Q7" s="2" t="s">
        <v>154</v>
      </c>
      <c r="R7" s="2" t="s">
        <v>122</v>
      </c>
      <c r="S7" s="2" t="s">
        <v>123</v>
      </c>
      <c r="T7" s="2" t="s">
        <v>155</v>
      </c>
      <c r="U7" s="2" t="s">
        <v>156</v>
      </c>
      <c r="V7" s="2" t="s">
        <v>157</v>
      </c>
      <c r="W7" s="2" t="s">
        <v>158</v>
      </c>
      <c r="X7" s="2" t="s">
        <v>124</v>
      </c>
      <c r="Y7" s="2" t="s">
        <v>159</v>
      </c>
      <c r="Z7" s="2" t="s">
        <v>160</v>
      </c>
    </row>
    <row r="8" spans="1:26" ht="15" customHeight="1" thickBot="1">
      <c r="A8" t="s">
        <v>126</v>
      </c>
      <c r="C8" t="s">
        <v>127</v>
      </c>
      <c r="D8" t="s">
        <v>128</v>
      </c>
      <c r="E8" t="s">
        <v>129</v>
      </c>
      <c r="F8" t="s">
        <v>130</v>
      </c>
      <c r="G8" t="s">
        <v>131</v>
      </c>
      <c r="H8" t="s">
        <v>132</v>
      </c>
      <c r="I8" t="s">
        <v>133</v>
      </c>
      <c r="J8" t="s">
        <v>134</v>
      </c>
      <c r="K8" t="s">
        <v>135</v>
      </c>
      <c r="L8" t="s">
        <v>136</v>
      </c>
      <c r="M8" t="s">
        <v>137</v>
      </c>
      <c r="N8" t="s">
        <v>138</v>
      </c>
      <c r="O8" t="s">
        <v>139</v>
      </c>
      <c r="P8" t="s">
        <v>131</v>
      </c>
      <c r="Q8" t="s">
        <v>140</v>
      </c>
      <c r="R8" t="s">
        <v>141</v>
      </c>
      <c r="S8" t="s">
        <v>142</v>
      </c>
      <c r="T8" t="s">
        <v>161</v>
      </c>
      <c r="U8" t="s">
        <v>162</v>
      </c>
      <c r="V8" t="s">
        <v>163</v>
      </c>
      <c r="W8" t="s">
        <v>164</v>
      </c>
    </row>
    <row r="9" spans="1:26" ht="15" customHeight="1" thickBot="1">
      <c r="A9">
        <v>1</v>
      </c>
      <c r="B9" t="s">
        <v>165</v>
      </c>
      <c r="C9">
        <v>0.05</v>
      </c>
      <c r="D9">
        <v>5</v>
      </c>
      <c r="E9" s="37">
        <f t="shared" ref="E9:E40" si="0">A9+J9</f>
        <v>1.0714285714285714</v>
      </c>
      <c r="F9">
        <v>30</v>
      </c>
      <c r="G9" s="71">
        <f t="shared" ref="G9:G40" si="1">100/(100-F9)</f>
        <v>1.4285714285714286</v>
      </c>
      <c r="H9" s="39">
        <f t="shared" ref="H9:H40" si="2">3.1415926*E9*M9</f>
        <v>5</v>
      </c>
      <c r="I9">
        <v>5</v>
      </c>
      <c r="J9" s="71">
        <f t="shared" ref="J9:J40" si="3">G9*C9</f>
        <v>7.1428571428571438E-2</v>
      </c>
      <c r="K9" s="71">
        <f t="shared" ref="K9:K40" si="4">A9+2*J9</f>
        <v>1.1428571428571428</v>
      </c>
      <c r="L9" s="72">
        <f t="shared" ref="L9:L40" si="5">ATAN(I9/(3.1415926*(A9+J9)))*180/3.1415926</f>
        <v>56.051623581344536</v>
      </c>
      <c r="M9" s="73">
        <f t="shared" ref="M9:M40" si="6">I9/(3.1415926*(A9+J9))</f>
        <v>1.4854461608633363</v>
      </c>
      <c r="N9" s="73">
        <f t="shared" ref="N9:N40" si="7">COS(L9*3.1415926/180)</f>
        <v>0.55844572636923095</v>
      </c>
      <c r="O9" s="74">
        <f t="shared" ref="O9:O40" si="8">(D9-I9*N9)/D9*100</f>
        <v>44.155427363076903</v>
      </c>
      <c r="P9" s="75">
        <f t="shared" ref="P9:P40" si="9">100/(100-O9)</f>
        <v>1.790684309649142</v>
      </c>
      <c r="Q9" s="37">
        <f t="shared" ref="Q9:Q40" si="10">P9*C9</f>
        <v>8.9534215482457102E-2</v>
      </c>
      <c r="R9" s="43">
        <f t="shared" ref="R9:R40" si="11">A9+2*Q9</f>
        <v>1.1790684309649142</v>
      </c>
      <c r="S9" s="76">
        <f t="shared" ref="S9:S40" si="12">SIN(L9*3.1415926/180)</f>
        <v>0.82954106028571128</v>
      </c>
      <c r="T9">
        <v>150</v>
      </c>
      <c r="U9" s="44">
        <f t="shared" ref="U9:U40" si="13">T9/S9</f>
        <v>180.82287566131671</v>
      </c>
      <c r="V9">
        <v>41.5</v>
      </c>
      <c r="W9" s="77">
        <f t="shared" ref="W9:W40" si="14">2*SQRT((1000*U9*C9/3.1415926)+(V9*V9))</f>
        <v>135.6485974516568</v>
      </c>
      <c r="X9">
        <v>2.15</v>
      </c>
      <c r="Y9" s="47">
        <f t="shared" ref="Y9:Y40" si="15">3.14*(A9+Q9)*Q9*P9*2.15</f>
        <v>1.1792802957565869</v>
      </c>
      <c r="Z9" s="47">
        <f t="shared" ref="Z9:Z40" si="16">3.14*(A9+Q9)*Q9*P9*8.89</f>
        <v>4.8761868973377016</v>
      </c>
    </row>
    <row r="10" spans="1:26" ht="15" customHeight="1" thickBot="1">
      <c r="A10">
        <v>1.5</v>
      </c>
      <c r="B10" t="s">
        <v>165</v>
      </c>
      <c r="C10">
        <v>0.05</v>
      </c>
      <c r="D10">
        <v>5</v>
      </c>
      <c r="E10" s="37">
        <f t="shared" si="0"/>
        <v>1.5714285714285714</v>
      </c>
      <c r="F10">
        <v>30</v>
      </c>
      <c r="G10" s="71">
        <f t="shared" si="1"/>
        <v>1.4285714285714286</v>
      </c>
      <c r="H10" s="39">
        <f t="shared" si="2"/>
        <v>5</v>
      </c>
      <c r="I10">
        <v>5</v>
      </c>
      <c r="J10" s="71">
        <f t="shared" si="3"/>
        <v>7.1428571428571438E-2</v>
      </c>
      <c r="K10" s="71">
        <f t="shared" si="4"/>
        <v>1.6428571428571428</v>
      </c>
      <c r="L10" s="72">
        <f t="shared" si="5"/>
        <v>45.364475747547274</v>
      </c>
      <c r="M10" s="73">
        <f t="shared" si="6"/>
        <v>1.0128042005886384</v>
      </c>
      <c r="N10" s="73">
        <f t="shared" si="7"/>
        <v>0.70259439456684691</v>
      </c>
      <c r="O10" s="74">
        <f t="shared" si="8"/>
        <v>29.740560543315304</v>
      </c>
      <c r="P10" s="75">
        <f t="shared" si="9"/>
        <v>1.4232962968862071</v>
      </c>
      <c r="Q10" s="37">
        <f t="shared" si="10"/>
        <v>7.1164814844310351E-2</v>
      </c>
      <c r="R10" s="43">
        <f t="shared" si="11"/>
        <v>1.6423296296886207</v>
      </c>
      <c r="S10" s="76">
        <f t="shared" si="12"/>
        <v>0.71159055412733374</v>
      </c>
      <c r="T10">
        <v>150</v>
      </c>
      <c r="U10" s="44">
        <f t="shared" si="13"/>
        <v>210.79537822695528</v>
      </c>
      <c r="V10">
        <v>41.5</v>
      </c>
      <c r="W10" s="77">
        <f t="shared" si="14"/>
        <v>142.50842360791452</v>
      </c>
      <c r="X10">
        <v>2.15</v>
      </c>
      <c r="Y10" s="47">
        <f t="shared" si="15"/>
        <v>1.0743616461699244</v>
      </c>
      <c r="Z10" s="47">
        <f t="shared" si="16"/>
        <v>4.4423604811398274</v>
      </c>
    </row>
    <row r="11" spans="1:26" ht="15" customHeight="1" thickBot="1">
      <c r="A11">
        <v>2</v>
      </c>
      <c r="B11" t="s">
        <v>165</v>
      </c>
      <c r="C11">
        <v>0.05</v>
      </c>
      <c r="D11">
        <v>10</v>
      </c>
      <c r="E11" s="37">
        <f t="shared" si="0"/>
        <v>2.0714285714285716</v>
      </c>
      <c r="F11">
        <v>30</v>
      </c>
      <c r="G11" s="71">
        <f t="shared" si="1"/>
        <v>1.4285714285714286</v>
      </c>
      <c r="H11" s="39">
        <f t="shared" si="2"/>
        <v>10</v>
      </c>
      <c r="I11">
        <v>10</v>
      </c>
      <c r="J11" s="71">
        <f t="shared" si="3"/>
        <v>7.1428571428571438E-2</v>
      </c>
      <c r="K11" s="71">
        <f t="shared" si="4"/>
        <v>2.1428571428571428</v>
      </c>
      <c r="L11" s="72">
        <f t="shared" si="5"/>
        <v>56.945594289987973</v>
      </c>
      <c r="M11" s="73">
        <f t="shared" si="6"/>
        <v>1.5366684422724166</v>
      </c>
      <c r="N11" s="73">
        <f t="shared" si="7"/>
        <v>0.54543517055948365</v>
      </c>
      <c r="O11" s="74">
        <f t="shared" si="8"/>
        <v>45.456482944051636</v>
      </c>
      <c r="P11" s="75">
        <f t="shared" si="9"/>
        <v>1.8333984568216302</v>
      </c>
      <c r="Q11" s="37">
        <f t="shared" si="10"/>
        <v>9.1669922841081511E-2</v>
      </c>
      <c r="R11" s="43">
        <f t="shared" si="11"/>
        <v>2.1833398456821631</v>
      </c>
      <c r="S11" s="76">
        <f t="shared" si="12"/>
        <v>0.83815301390423158</v>
      </c>
      <c r="T11">
        <v>150</v>
      </c>
      <c r="U11" s="44">
        <f t="shared" si="13"/>
        <v>178.96493541349861</v>
      </c>
      <c r="V11">
        <v>41.5</v>
      </c>
      <c r="W11" s="77">
        <f t="shared" si="14"/>
        <v>135.21191455940607</v>
      </c>
      <c r="X11">
        <v>2.15</v>
      </c>
      <c r="Y11" s="47">
        <f t="shared" si="15"/>
        <v>2.3732581817828935</v>
      </c>
      <c r="Z11" s="47">
        <f t="shared" si="16"/>
        <v>9.8131466214185696</v>
      </c>
    </row>
    <row r="12" spans="1:26" ht="15" customHeight="1" thickBot="1">
      <c r="A12">
        <v>2.5</v>
      </c>
      <c r="B12" t="s">
        <v>165</v>
      </c>
      <c r="C12">
        <v>0.05</v>
      </c>
      <c r="D12">
        <v>10</v>
      </c>
      <c r="E12" s="37">
        <f t="shared" si="0"/>
        <v>2.5714285714285716</v>
      </c>
      <c r="F12">
        <v>30</v>
      </c>
      <c r="G12" s="71">
        <f t="shared" si="1"/>
        <v>1.4285714285714286</v>
      </c>
      <c r="H12" s="39">
        <f t="shared" si="2"/>
        <v>10</v>
      </c>
      <c r="I12">
        <v>10</v>
      </c>
      <c r="J12" s="71">
        <f t="shared" si="3"/>
        <v>7.1428571428571438E-2</v>
      </c>
      <c r="K12" s="71">
        <f t="shared" si="4"/>
        <v>2.6428571428571428</v>
      </c>
      <c r="L12" s="72">
        <f t="shared" si="5"/>
        <v>51.067402393027429</v>
      </c>
      <c r="M12" s="73">
        <f t="shared" si="6"/>
        <v>1.2378718007194467</v>
      </c>
      <c r="N12" s="73">
        <f t="shared" si="7"/>
        <v>0.62840573802961297</v>
      </c>
      <c r="O12" s="74">
        <f t="shared" si="8"/>
        <v>37.159426197038705</v>
      </c>
      <c r="P12" s="75">
        <f t="shared" si="9"/>
        <v>1.5913285628733009</v>
      </c>
      <c r="Q12" s="37">
        <f t="shared" si="10"/>
        <v>7.9566428143665047E-2</v>
      </c>
      <c r="R12" s="43">
        <f t="shared" si="11"/>
        <v>2.65913285628733</v>
      </c>
      <c r="S12" s="76">
        <f t="shared" si="12"/>
        <v>0.77788574251714981</v>
      </c>
      <c r="T12">
        <v>150</v>
      </c>
      <c r="U12" s="44">
        <f t="shared" si="13"/>
        <v>192.83037572409677</v>
      </c>
      <c r="V12">
        <v>41.5</v>
      </c>
      <c r="W12" s="77">
        <f t="shared" si="14"/>
        <v>138.43757871079777</v>
      </c>
      <c r="X12">
        <v>2.15</v>
      </c>
      <c r="Y12" s="47">
        <f t="shared" si="15"/>
        <v>2.2049794412233714</v>
      </c>
      <c r="Z12" s="47">
        <f t="shared" si="16"/>
        <v>9.1173335965003588</v>
      </c>
    </row>
    <row r="13" spans="1:26" ht="15" customHeight="1" thickBot="1">
      <c r="A13">
        <v>3</v>
      </c>
      <c r="B13" t="s">
        <v>165</v>
      </c>
      <c r="C13">
        <v>0.05</v>
      </c>
      <c r="D13">
        <v>10</v>
      </c>
      <c r="E13" s="37">
        <f t="shared" si="0"/>
        <v>3.0714285714285716</v>
      </c>
      <c r="F13">
        <v>30</v>
      </c>
      <c r="G13" s="71">
        <f t="shared" si="1"/>
        <v>1.4285714285714286</v>
      </c>
      <c r="H13" s="39">
        <f t="shared" si="2"/>
        <v>10</v>
      </c>
      <c r="I13">
        <v>10</v>
      </c>
      <c r="J13" s="71">
        <f t="shared" si="3"/>
        <v>7.1428571428571438E-2</v>
      </c>
      <c r="K13" s="71">
        <f t="shared" si="4"/>
        <v>3.1428571428571428</v>
      </c>
      <c r="L13" s="72">
        <f t="shared" si="5"/>
        <v>46.022869374439352</v>
      </c>
      <c r="M13" s="73">
        <f t="shared" si="6"/>
        <v>1.0363577866488392</v>
      </c>
      <c r="N13" s="73">
        <f t="shared" si="7"/>
        <v>0.694371203472256</v>
      </c>
      <c r="O13" s="74">
        <f t="shared" si="8"/>
        <v>30.562879652774395</v>
      </c>
      <c r="P13" s="75">
        <f t="shared" si="9"/>
        <v>1.4401518884991542</v>
      </c>
      <c r="Q13" s="37">
        <f t="shared" si="10"/>
        <v>7.2007594424957716E-2</v>
      </c>
      <c r="R13" s="43">
        <f t="shared" si="11"/>
        <v>3.1440151888499153</v>
      </c>
      <c r="S13" s="76">
        <f t="shared" si="12"/>
        <v>0.7196170035431978</v>
      </c>
      <c r="T13">
        <v>150</v>
      </c>
      <c r="U13" s="44">
        <f t="shared" si="13"/>
        <v>208.44421304866466</v>
      </c>
      <c r="V13">
        <v>41.5</v>
      </c>
      <c r="W13" s="77">
        <f t="shared" si="14"/>
        <v>141.98229105279063</v>
      </c>
      <c r="X13">
        <v>2.15</v>
      </c>
      <c r="Y13" s="47">
        <f t="shared" si="15"/>
        <v>2.1506859294926954</v>
      </c>
      <c r="Z13" s="47">
        <f t="shared" si="16"/>
        <v>8.8928362386930537</v>
      </c>
    </row>
    <row r="14" spans="1:26" ht="15" customHeight="1" thickBot="1">
      <c r="A14">
        <v>3.5</v>
      </c>
      <c r="B14" t="s">
        <v>165</v>
      </c>
      <c r="C14">
        <v>0.05</v>
      </c>
      <c r="D14">
        <v>15</v>
      </c>
      <c r="E14" s="37">
        <f t="shared" si="0"/>
        <v>3.5714285714285716</v>
      </c>
      <c r="F14">
        <v>30</v>
      </c>
      <c r="G14" s="71">
        <f t="shared" si="1"/>
        <v>1.4285714285714286</v>
      </c>
      <c r="H14" s="39">
        <f t="shared" si="2"/>
        <v>15</v>
      </c>
      <c r="I14">
        <v>15</v>
      </c>
      <c r="J14" s="71">
        <f t="shared" si="3"/>
        <v>7.1428571428571438E-2</v>
      </c>
      <c r="K14" s="71">
        <f t="shared" si="4"/>
        <v>3.6428571428571428</v>
      </c>
      <c r="L14" s="72">
        <f t="shared" si="5"/>
        <v>53.20357702401401</v>
      </c>
      <c r="M14" s="73">
        <f t="shared" si="6"/>
        <v>1.3369015447770025</v>
      </c>
      <c r="N14" s="73">
        <f t="shared" si="7"/>
        <v>0.59897361969499452</v>
      </c>
      <c r="O14" s="74">
        <f t="shared" si="8"/>
        <v>40.10263803050055</v>
      </c>
      <c r="P14" s="75">
        <f t="shared" si="9"/>
        <v>1.6695226085402786</v>
      </c>
      <c r="Q14" s="37">
        <f t="shared" si="10"/>
        <v>8.3476130427013934E-2</v>
      </c>
      <c r="R14" s="43">
        <f t="shared" si="11"/>
        <v>3.6669522608540279</v>
      </c>
      <c r="S14" s="76">
        <f t="shared" si="12"/>
        <v>0.80076875745091103</v>
      </c>
      <c r="T14">
        <v>150</v>
      </c>
      <c r="U14" s="44">
        <f t="shared" si="13"/>
        <v>187.31999544724414</v>
      </c>
      <c r="V14">
        <v>41.5</v>
      </c>
      <c r="W14" s="77">
        <f t="shared" si="14"/>
        <v>137.16472392555389</v>
      </c>
      <c r="X14">
        <v>2.15</v>
      </c>
      <c r="Y14" s="47">
        <f t="shared" si="15"/>
        <v>3.3715316234746586</v>
      </c>
      <c r="Z14" s="47">
        <f t="shared" si="16"/>
        <v>13.940891224506846</v>
      </c>
    </row>
    <row r="15" spans="1:26" ht="15" customHeight="1" thickBot="1">
      <c r="A15">
        <v>4</v>
      </c>
      <c r="B15" t="s">
        <v>165</v>
      </c>
      <c r="C15">
        <v>0.05</v>
      </c>
      <c r="D15">
        <v>15</v>
      </c>
      <c r="E15" s="37">
        <f t="shared" si="0"/>
        <v>4.0714285714285712</v>
      </c>
      <c r="F15">
        <v>30</v>
      </c>
      <c r="G15" s="71">
        <f t="shared" si="1"/>
        <v>1.4285714285714286</v>
      </c>
      <c r="H15" s="39">
        <f t="shared" si="2"/>
        <v>15</v>
      </c>
      <c r="I15">
        <v>15</v>
      </c>
      <c r="J15" s="71">
        <f t="shared" si="3"/>
        <v>7.1428571428571438E-2</v>
      </c>
      <c r="K15" s="71">
        <f t="shared" si="4"/>
        <v>4.1428571428571432</v>
      </c>
      <c r="L15" s="72">
        <f t="shared" si="5"/>
        <v>49.545176482511039</v>
      </c>
      <c r="M15" s="73">
        <f t="shared" si="6"/>
        <v>1.1727206533131602</v>
      </c>
      <c r="N15" s="73">
        <f t="shared" si="7"/>
        <v>0.64884829408407607</v>
      </c>
      <c r="O15" s="74">
        <f t="shared" si="8"/>
        <v>35.115170591592388</v>
      </c>
      <c r="P15" s="75">
        <f t="shared" si="9"/>
        <v>1.5411923081521157</v>
      </c>
      <c r="Q15" s="37">
        <f t="shared" si="10"/>
        <v>7.7059615407605794E-2</v>
      </c>
      <c r="R15" s="43">
        <f t="shared" si="11"/>
        <v>4.1541192308152119</v>
      </c>
      <c r="S15" s="76">
        <f t="shared" si="12"/>
        <v>0.7609177953394074</v>
      </c>
      <c r="T15">
        <v>150</v>
      </c>
      <c r="U15" s="44">
        <f t="shared" si="13"/>
        <v>197.13036141189534</v>
      </c>
      <c r="V15">
        <v>41.5</v>
      </c>
      <c r="W15" s="77">
        <f t="shared" si="14"/>
        <v>139.42277000172152</v>
      </c>
      <c r="X15">
        <v>2.15</v>
      </c>
      <c r="Y15" s="47">
        <f t="shared" si="15"/>
        <v>3.2688789601443631</v>
      </c>
      <c r="Z15" s="47">
        <f t="shared" si="16"/>
        <v>13.516434397992274</v>
      </c>
    </row>
    <row r="16" spans="1:26" ht="15" customHeight="1" thickBot="1">
      <c r="A16">
        <v>4.5</v>
      </c>
      <c r="B16" t="s">
        <v>165</v>
      </c>
      <c r="C16">
        <v>0.05</v>
      </c>
      <c r="D16">
        <v>15</v>
      </c>
      <c r="E16" s="37">
        <f t="shared" si="0"/>
        <v>4.5714285714285712</v>
      </c>
      <c r="F16">
        <v>30</v>
      </c>
      <c r="G16" s="71">
        <f t="shared" si="1"/>
        <v>1.4285714285714286</v>
      </c>
      <c r="H16" s="39">
        <f t="shared" si="2"/>
        <v>15.000000000000002</v>
      </c>
      <c r="I16">
        <v>15</v>
      </c>
      <c r="J16" s="71">
        <f t="shared" si="3"/>
        <v>7.1428571428571438E-2</v>
      </c>
      <c r="K16" s="71">
        <f t="shared" si="4"/>
        <v>4.6428571428571432</v>
      </c>
      <c r="L16" s="72">
        <f t="shared" si="5"/>
        <v>46.245635998249028</v>
      </c>
      <c r="M16" s="73">
        <f t="shared" si="6"/>
        <v>1.0444543318570334</v>
      </c>
      <c r="N16" s="73">
        <f t="shared" si="7"/>
        <v>0.69156808343875042</v>
      </c>
      <c r="O16" s="74">
        <f t="shared" si="8"/>
        <v>30.843191656124961</v>
      </c>
      <c r="P16" s="75">
        <f t="shared" si="9"/>
        <v>1.4459892293288088</v>
      </c>
      <c r="Q16" s="37">
        <f t="shared" si="10"/>
        <v>7.2299461466440437E-2</v>
      </c>
      <c r="R16" s="43">
        <f t="shared" si="11"/>
        <v>4.6445989229328806</v>
      </c>
      <c r="S16" s="76">
        <f t="shared" si="12"/>
        <v>0.72231128052166915</v>
      </c>
      <c r="T16">
        <v>150</v>
      </c>
      <c r="U16" s="44">
        <f t="shared" si="13"/>
        <v>207.66670000178689</v>
      </c>
      <c r="V16">
        <v>41.5</v>
      </c>
      <c r="W16" s="77">
        <f t="shared" si="14"/>
        <v>141.80787338460229</v>
      </c>
      <c r="X16">
        <v>2.15</v>
      </c>
      <c r="Y16" s="47">
        <f t="shared" si="15"/>
        <v>3.2270291994986011</v>
      </c>
      <c r="Z16" s="47">
        <f t="shared" si="16"/>
        <v>13.343390503973287</v>
      </c>
    </row>
    <row r="17" spans="1:26" ht="15" customHeight="1" thickBot="1">
      <c r="A17">
        <v>5</v>
      </c>
      <c r="B17" t="s">
        <v>165</v>
      </c>
      <c r="C17">
        <v>0.05</v>
      </c>
      <c r="D17">
        <v>20</v>
      </c>
      <c r="E17" s="37">
        <f t="shared" si="0"/>
        <v>5.0714285714285712</v>
      </c>
      <c r="F17">
        <v>30</v>
      </c>
      <c r="G17" s="71">
        <f t="shared" si="1"/>
        <v>1.4285714285714286</v>
      </c>
      <c r="H17" s="39">
        <f t="shared" si="2"/>
        <v>20</v>
      </c>
      <c r="I17">
        <v>20</v>
      </c>
      <c r="J17" s="71">
        <f t="shared" si="3"/>
        <v>7.1428571428571438E-2</v>
      </c>
      <c r="K17" s="71">
        <f t="shared" si="4"/>
        <v>5.1428571428571432</v>
      </c>
      <c r="L17" s="72">
        <f t="shared" si="5"/>
        <v>51.458538450160333</v>
      </c>
      <c r="M17" s="73">
        <f t="shared" si="6"/>
        <v>1.255306614814087</v>
      </c>
      <c r="N17" s="73">
        <f t="shared" si="7"/>
        <v>0.62308081258249592</v>
      </c>
      <c r="O17" s="74">
        <f t="shared" si="8"/>
        <v>37.691918741750406</v>
      </c>
      <c r="P17" s="75">
        <f t="shared" si="9"/>
        <v>1.604928252974569</v>
      </c>
      <c r="Q17" s="37">
        <f t="shared" si="10"/>
        <v>8.0246412648728449E-2</v>
      </c>
      <c r="R17" s="43">
        <f t="shared" si="11"/>
        <v>5.1604928252974567</v>
      </c>
      <c r="S17" s="76">
        <f t="shared" si="12"/>
        <v>0.78215746559854338</v>
      </c>
      <c r="T17">
        <v>150</v>
      </c>
      <c r="U17" s="44">
        <f t="shared" si="13"/>
        <v>191.77724000270587</v>
      </c>
      <c r="V17">
        <v>41.5</v>
      </c>
      <c r="W17" s="77">
        <f t="shared" si="14"/>
        <v>138.19521878792429</v>
      </c>
      <c r="X17">
        <v>2.15</v>
      </c>
      <c r="Y17" s="47">
        <f t="shared" si="15"/>
        <v>4.417068506014</v>
      </c>
      <c r="Z17" s="47">
        <f t="shared" si="16"/>
        <v>18.264064659750915</v>
      </c>
    </row>
    <row r="18" spans="1:26" ht="15" customHeight="1" thickBot="1">
      <c r="A18">
        <v>5.5</v>
      </c>
      <c r="B18" t="s">
        <v>165</v>
      </c>
      <c r="C18">
        <v>0.05</v>
      </c>
      <c r="D18">
        <v>20</v>
      </c>
      <c r="E18" s="37">
        <f t="shared" si="0"/>
        <v>5.5714285714285712</v>
      </c>
      <c r="F18">
        <v>30</v>
      </c>
      <c r="G18" s="71">
        <f t="shared" si="1"/>
        <v>1.4285714285714286</v>
      </c>
      <c r="H18" s="39">
        <f t="shared" si="2"/>
        <v>20</v>
      </c>
      <c r="I18">
        <v>20</v>
      </c>
      <c r="J18" s="71">
        <f t="shared" si="3"/>
        <v>7.1428571428571438E-2</v>
      </c>
      <c r="K18" s="71">
        <f t="shared" si="4"/>
        <v>5.6428571428571432</v>
      </c>
      <c r="L18" s="72">
        <f t="shared" si="5"/>
        <v>48.808950849714272</v>
      </c>
      <c r="M18" s="73">
        <f t="shared" si="6"/>
        <v>1.1426508929717971</v>
      </c>
      <c r="N18" s="73">
        <f t="shared" si="7"/>
        <v>0.65857191940641069</v>
      </c>
      <c r="O18" s="74">
        <f t="shared" si="8"/>
        <v>34.142808059358934</v>
      </c>
      <c r="P18" s="75">
        <f t="shared" si="9"/>
        <v>1.518437046179145</v>
      </c>
      <c r="Q18" s="37">
        <f t="shared" si="10"/>
        <v>7.5921852308957261E-2</v>
      </c>
      <c r="R18" s="43">
        <f t="shared" si="11"/>
        <v>5.6518437046179146</v>
      </c>
      <c r="S18" s="76">
        <f t="shared" si="12"/>
        <v>0.75251779179588585</v>
      </c>
      <c r="T18">
        <v>150</v>
      </c>
      <c r="U18" s="44">
        <f t="shared" si="13"/>
        <v>199.33083527769432</v>
      </c>
      <c r="V18">
        <v>41.5</v>
      </c>
      <c r="W18" s="77">
        <f t="shared" si="14"/>
        <v>139.9242484864476</v>
      </c>
      <c r="X18">
        <v>2.15</v>
      </c>
      <c r="Y18" s="47">
        <f t="shared" si="15"/>
        <v>4.3395867311697467</v>
      </c>
      <c r="Z18" s="47">
        <f t="shared" si="16"/>
        <v>17.943686530278629</v>
      </c>
    </row>
    <row r="19" spans="1:26" ht="15" customHeight="1" thickBot="1">
      <c r="A19">
        <v>6</v>
      </c>
      <c r="B19" t="s">
        <v>165</v>
      </c>
      <c r="C19">
        <v>0.05</v>
      </c>
      <c r="D19">
        <v>20</v>
      </c>
      <c r="E19" s="37">
        <f t="shared" si="0"/>
        <v>6.0714285714285712</v>
      </c>
      <c r="F19">
        <v>30</v>
      </c>
      <c r="G19" s="71">
        <f t="shared" si="1"/>
        <v>1.4285714285714286</v>
      </c>
      <c r="H19" s="39">
        <f t="shared" si="2"/>
        <v>20</v>
      </c>
      <c r="I19">
        <v>20</v>
      </c>
      <c r="J19" s="71">
        <f t="shared" si="3"/>
        <v>7.1428571428571438E-2</v>
      </c>
      <c r="K19" s="71">
        <f t="shared" si="4"/>
        <v>6.1428571428571432</v>
      </c>
      <c r="L19" s="72">
        <f t="shared" si="5"/>
        <v>46.357645168649888</v>
      </c>
      <c r="M19" s="73">
        <f t="shared" si="6"/>
        <v>1.0485502311976491</v>
      </c>
      <c r="N19" s="73">
        <f t="shared" si="7"/>
        <v>0.6901546957273611</v>
      </c>
      <c r="O19" s="74">
        <f t="shared" si="8"/>
        <v>30.984530427263891</v>
      </c>
      <c r="P19" s="75">
        <f t="shared" si="9"/>
        <v>1.4489505123863422</v>
      </c>
      <c r="Q19" s="37">
        <f t="shared" si="10"/>
        <v>7.244752561931711E-2</v>
      </c>
      <c r="R19" s="43">
        <f t="shared" si="11"/>
        <v>6.1448950512386347</v>
      </c>
      <c r="S19" s="76">
        <f t="shared" si="12"/>
        <v>0.7236618657670677</v>
      </c>
      <c r="T19">
        <v>150</v>
      </c>
      <c r="U19" s="44">
        <f t="shared" si="13"/>
        <v>207.27912730485374</v>
      </c>
      <c r="V19">
        <v>41.5</v>
      </c>
      <c r="W19" s="77">
        <f t="shared" si="14"/>
        <v>141.72084994535123</v>
      </c>
      <c r="X19">
        <v>2.15</v>
      </c>
      <c r="Y19" s="47">
        <f t="shared" si="15"/>
        <v>4.3033729779036882</v>
      </c>
      <c r="Z19" s="47">
        <f t="shared" si="16"/>
        <v>17.793946871425018</v>
      </c>
    </row>
    <row r="20" spans="1:26" ht="15" customHeight="1" thickBot="1">
      <c r="A20">
        <v>6.5</v>
      </c>
      <c r="B20" t="s">
        <v>165</v>
      </c>
      <c r="C20">
        <v>0.05</v>
      </c>
      <c r="D20">
        <v>25</v>
      </c>
      <c r="E20" s="37">
        <f t="shared" si="0"/>
        <v>6.5714285714285712</v>
      </c>
      <c r="F20">
        <v>30</v>
      </c>
      <c r="G20" s="71">
        <f t="shared" si="1"/>
        <v>1.4285714285714286</v>
      </c>
      <c r="H20" s="39">
        <f t="shared" si="2"/>
        <v>25.000000000000004</v>
      </c>
      <c r="I20">
        <v>25</v>
      </c>
      <c r="J20" s="71">
        <f t="shared" si="3"/>
        <v>7.1428571428571438E-2</v>
      </c>
      <c r="K20" s="71">
        <f t="shared" si="4"/>
        <v>6.6428571428571432</v>
      </c>
      <c r="L20" s="72">
        <f t="shared" si="5"/>
        <v>50.450445524511302</v>
      </c>
      <c r="M20" s="73">
        <f t="shared" si="6"/>
        <v>1.2109615441820676</v>
      </c>
      <c r="N20" s="73">
        <f t="shared" si="7"/>
        <v>0.63674536329893994</v>
      </c>
      <c r="O20" s="74">
        <f t="shared" si="8"/>
        <v>36.325463670106004</v>
      </c>
      <c r="P20" s="75">
        <f t="shared" si="9"/>
        <v>1.5704865047136884</v>
      </c>
      <c r="Q20" s="37">
        <f t="shared" si="10"/>
        <v>7.8524325235684422E-2</v>
      </c>
      <c r="R20" s="43">
        <f t="shared" si="11"/>
        <v>6.6570486504713688</v>
      </c>
      <c r="S20" s="76">
        <f t="shared" si="12"/>
        <v>0.77107414839125621</v>
      </c>
      <c r="T20">
        <v>150</v>
      </c>
      <c r="U20" s="44">
        <f t="shared" si="13"/>
        <v>194.53382053198786</v>
      </c>
      <c r="V20">
        <v>41.5</v>
      </c>
      <c r="W20" s="77">
        <f t="shared" si="14"/>
        <v>138.82869971926635</v>
      </c>
      <c r="X20">
        <v>2.15</v>
      </c>
      <c r="Y20" s="47">
        <f t="shared" si="15"/>
        <v>5.4769025658765278</v>
      </c>
      <c r="Z20" s="47">
        <f t="shared" si="16"/>
        <v>22.64635526076388</v>
      </c>
    </row>
    <row r="21" spans="1:26" ht="15" customHeight="1" thickBot="1">
      <c r="A21">
        <v>7</v>
      </c>
      <c r="B21" t="s">
        <v>165</v>
      </c>
      <c r="C21">
        <v>0.05</v>
      </c>
      <c r="D21">
        <v>25</v>
      </c>
      <c r="E21" s="37">
        <f t="shared" si="0"/>
        <v>7.0714285714285712</v>
      </c>
      <c r="F21">
        <v>30</v>
      </c>
      <c r="G21" s="71">
        <f t="shared" si="1"/>
        <v>1.4285714285714286</v>
      </c>
      <c r="H21" s="39">
        <f t="shared" si="2"/>
        <v>24.999999999999996</v>
      </c>
      <c r="I21">
        <v>25</v>
      </c>
      <c r="J21" s="71">
        <f t="shared" si="3"/>
        <v>7.1428571428571438E-2</v>
      </c>
      <c r="K21" s="71">
        <f t="shared" si="4"/>
        <v>7.1428571428571432</v>
      </c>
      <c r="L21" s="72">
        <f t="shared" si="5"/>
        <v>48.375007810741685</v>
      </c>
      <c r="M21" s="73">
        <f t="shared" si="6"/>
        <v>1.1253380006540425</v>
      </c>
      <c r="N21" s="73">
        <f t="shared" si="7"/>
        <v>0.6642523467743886</v>
      </c>
      <c r="O21" s="74">
        <f t="shared" si="8"/>
        <v>33.574765322561134</v>
      </c>
      <c r="P21" s="75">
        <f t="shared" si="9"/>
        <v>1.5054519639350963</v>
      </c>
      <c r="Q21" s="37">
        <f t="shared" si="10"/>
        <v>7.5272598196754817E-2</v>
      </c>
      <c r="R21" s="43">
        <f t="shared" si="11"/>
        <v>7.1505451963935096</v>
      </c>
      <c r="S21" s="76">
        <f t="shared" si="12"/>
        <v>0.74750840784884642</v>
      </c>
      <c r="T21">
        <v>150</v>
      </c>
      <c r="U21" s="44">
        <f t="shared" si="13"/>
        <v>200.66663923107535</v>
      </c>
      <c r="V21">
        <v>41.5</v>
      </c>
      <c r="W21" s="77">
        <f t="shared" si="14"/>
        <v>140.2277976608799</v>
      </c>
      <c r="X21">
        <v>2.15</v>
      </c>
      <c r="Y21" s="47">
        <f t="shared" si="15"/>
        <v>5.4127141795924434</v>
      </c>
      <c r="Z21" s="47">
        <f t="shared" si="16"/>
        <v>22.380943747245034</v>
      </c>
    </row>
    <row r="22" spans="1:26" ht="15" customHeight="1" thickBot="1">
      <c r="A22">
        <v>7.5</v>
      </c>
      <c r="B22" t="s">
        <v>165</v>
      </c>
      <c r="C22">
        <v>0.05</v>
      </c>
      <c r="D22">
        <v>25</v>
      </c>
      <c r="E22" s="37">
        <f t="shared" si="0"/>
        <v>7.5714285714285712</v>
      </c>
      <c r="F22">
        <v>30</v>
      </c>
      <c r="G22" s="71">
        <f t="shared" si="1"/>
        <v>1.4285714285714286</v>
      </c>
      <c r="H22" s="39">
        <f t="shared" si="2"/>
        <v>25</v>
      </c>
      <c r="I22">
        <v>25</v>
      </c>
      <c r="J22" s="71">
        <f t="shared" si="3"/>
        <v>7.1428571428571438E-2</v>
      </c>
      <c r="K22" s="71">
        <f t="shared" si="4"/>
        <v>7.6428571428571432</v>
      </c>
      <c r="L22" s="72">
        <f t="shared" si="5"/>
        <v>46.425051803650071</v>
      </c>
      <c r="M22" s="73">
        <f t="shared" si="6"/>
        <v>1.0510232270259454</v>
      </c>
      <c r="N22" s="73">
        <f t="shared" si="7"/>
        <v>0.68930285350082798</v>
      </c>
      <c r="O22" s="74">
        <f t="shared" si="8"/>
        <v>31.069714649917202</v>
      </c>
      <c r="P22" s="75">
        <f t="shared" si="9"/>
        <v>1.4507411291295327</v>
      </c>
      <c r="Q22" s="37">
        <f t="shared" si="10"/>
        <v>7.2537056456476637E-2</v>
      </c>
      <c r="R22" s="43">
        <f t="shared" si="11"/>
        <v>7.6450741129129529</v>
      </c>
      <c r="S22" s="76">
        <f t="shared" si="12"/>
        <v>0.72447330948463251</v>
      </c>
      <c r="T22">
        <v>150</v>
      </c>
      <c r="U22" s="44">
        <f t="shared" si="13"/>
        <v>207.0469650658425</v>
      </c>
      <c r="V22">
        <v>41.5</v>
      </c>
      <c r="W22" s="77">
        <f t="shared" si="14"/>
        <v>141.66869591340733</v>
      </c>
      <c r="X22">
        <v>2.15</v>
      </c>
      <c r="Y22" s="47">
        <f t="shared" si="15"/>
        <v>5.3797162155928984</v>
      </c>
      <c r="Z22" s="47">
        <f t="shared" si="16"/>
        <v>22.244501003079478</v>
      </c>
    </row>
    <row r="23" spans="1:26" ht="15" customHeight="1" thickBot="1">
      <c r="A23">
        <v>8</v>
      </c>
      <c r="B23" t="s">
        <v>165</v>
      </c>
      <c r="C23">
        <v>0.05</v>
      </c>
      <c r="D23">
        <v>25</v>
      </c>
      <c r="E23" s="37">
        <f t="shared" si="0"/>
        <v>8.0714285714285712</v>
      </c>
      <c r="F23">
        <v>30</v>
      </c>
      <c r="G23" s="71">
        <f t="shared" si="1"/>
        <v>1.4285714285714286</v>
      </c>
      <c r="H23" s="39">
        <f t="shared" si="2"/>
        <v>25</v>
      </c>
      <c r="I23">
        <v>25</v>
      </c>
      <c r="J23" s="71">
        <f t="shared" si="3"/>
        <v>7.1428571428571438E-2</v>
      </c>
      <c r="K23" s="71">
        <f t="shared" si="4"/>
        <v>8.1428571428571423</v>
      </c>
      <c r="L23" s="72">
        <f t="shared" si="5"/>
        <v>44.593657448360808</v>
      </c>
      <c r="M23" s="73">
        <f t="shared" si="6"/>
        <v>0.98591559349336477</v>
      </c>
      <c r="N23" s="73">
        <f t="shared" si="7"/>
        <v>0.7121037781751719</v>
      </c>
      <c r="O23" s="74">
        <f t="shared" si="8"/>
        <v>28.789622182482816</v>
      </c>
      <c r="P23" s="75">
        <f t="shared" si="9"/>
        <v>1.4042896985641438</v>
      </c>
      <c r="Q23" s="37">
        <f t="shared" si="10"/>
        <v>7.0214484928207185E-2</v>
      </c>
      <c r="R23" s="43">
        <f t="shared" si="11"/>
        <v>8.1404289698564138</v>
      </c>
      <c r="S23" s="76">
        <f t="shared" si="12"/>
        <v>0.70207421908844192</v>
      </c>
      <c r="T23">
        <v>150</v>
      </c>
      <c r="U23" s="44">
        <f t="shared" si="13"/>
        <v>213.65262520927882</v>
      </c>
      <c r="V23">
        <v>41.5</v>
      </c>
      <c r="W23" s="77">
        <f t="shared" si="14"/>
        <v>143.14520178708099</v>
      </c>
      <c r="X23">
        <v>2.15</v>
      </c>
      <c r="Y23" s="47">
        <f t="shared" si="15"/>
        <v>5.3720074911864666</v>
      </c>
      <c r="Z23" s="47">
        <f t="shared" si="16"/>
        <v>22.212626324022182</v>
      </c>
    </row>
    <row r="24" spans="1:26" ht="15" customHeight="1" thickBot="1">
      <c r="A24">
        <v>8.5</v>
      </c>
      <c r="B24" t="s">
        <v>165</v>
      </c>
      <c r="C24">
        <v>0.05</v>
      </c>
      <c r="D24">
        <v>30</v>
      </c>
      <c r="E24" s="37">
        <f t="shared" si="0"/>
        <v>8.5714285714285712</v>
      </c>
      <c r="F24">
        <v>30</v>
      </c>
      <c r="G24" s="71">
        <f t="shared" si="1"/>
        <v>1.4285714285714286</v>
      </c>
      <c r="H24" s="39">
        <f t="shared" si="2"/>
        <v>30</v>
      </c>
      <c r="I24">
        <v>30</v>
      </c>
      <c r="J24" s="71">
        <f t="shared" si="3"/>
        <v>7.1428571428571438E-2</v>
      </c>
      <c r="K24" s="71">
        <f t="shared" si="4"/>
        <v>8.6428571428571423</v>
      </c>
      <c r="L24" s="72">
        <f t="shared" si="5"/>
        <v>48.088918443500383</v>
      </c>
      <c r="M24" s="73">
        <f t="shared" si="6"/>
        <v>1.1140846206475021</v>
      </c>
      <c r="N24" s="73">
        <f t="shared" si="7"/>
        <v>0.66797651066730401</v>
      </c>
      <c r="O24" s="74">
        <f t="shared" si="8"/>
        <v>33.20234893326959</v>
      </c>
      <c r="P24" s="75">
        <f t="shared" si="9"/>
        <v>1.4970586301021374</v>
      </c>
      <c r="Q24" s="37">
        <f t="shared" si="10"/>
        <v>7.4852931505106871E-2</v>
      </c>
      <c r="R24" s="43">
        <f t="shared" si="11"/>
        <v>8.6497058630102135</v>
      </c>
      <c r="S24" s="76">
        <f t="shared" si="12"/>
        <v>0.74418235748822559</v>
      </c>
      <c r="T24">
        <v>150</v>
      </c>
      <c r="U24" s="44">
        <f t="shared" si="13"/>
        <v>201.56349917550054</v>
      </c>
      <c r="V24">
        <v>41.5</v>
      </c>
      <c r="W24" s="77">
        <f t="shared" si="14"/>
        <v>140.43123269116873</v>
      </c>
      <c r="X24">
        <v>2.15</v>
      </c>
      <c r="Y24" s="47">
        <f t="shared" si="15"/>
        <v>6.4869777872900034</v>
      </c>
      <c r="Z24" s="47">
        <f t="shared" si="16"/>
        <v>26.822898850701456</v>
      </c>
    </row>
    <row r="25" spans="1:26" ht="15" customHeight="1" thickBot="1">
      <c r="A25">
        <v>9</v>
      </c>
      <c r="B25" t="s">
        <v>165</v>
      </c>
      <c r="C25">
        <v>0.05</v>
      </c>
      <c r="D25">
        <v>30</v>
      </c>
      <c r="E25" s="37">
        <f t="shared" si="0"/>
        <v>9.0714285714285712</v>
      </c>
      <c r="F25">
        <v>30</v>
      </c>
      <c r="G25" s="71">
        <f t="shared" si="1"/>
        <v>1.4285714285714286</v>
      </c>
      <c r="H25" s="39">
        <f t="shared" si="2"/>
        <v>29.999999999999996</v>
      </c>
      <c r="I25">
        <v>30</v>
      </c>
      <c r="J25" s="71">
        <f t="shared" si="3"/>
        <v>7.1428571428571438E-2</v>
      </c>
      <c r="K25" s="71">
        <f t="shared" si="4"/>
        <v>9.1428571428571423</v>
      </c>
      <c r="L25" s="72">
        <f t="shared" si="5"/>
        <v>46.470073564031161</v>
      </c>
      <c r="M25" s="73">
        <f t="shared" si="6"/>
        <v>1.0526783817141752</v>
      </c>
      <c r="N25" s="73">
        <f t="shared" si="7"/>
        <v>0.68873336561052012</v>
      </c>
      <c r="O25" s="74">
        <f t="shared" si="8"/>
        <v>31.126663438947993</v>
      </c>
      <c r="P25" s="75">
        <f t="shared" si="9"/>
        <v>1.4519406927723923</v>
      </c>
      <c r="Q25" s="37">
        <f t="shared" si="10"/>
        <v>7.259703463861962E-2</v>
      </c>
      <c r="R25" s="43">
        <f t="shared" si="11"/>
        <v>9.14519406927724</v>
      </c>
      <c r="S25" s="76">
        <f t="shared" si="12"/>
        <v>0.72501472474343964</v>
      </c>
      <c r="T25">
        <v>150</v>
      </c>
      <c r="U25" s="44">
        <f t="shared" si="13"/>
        <v>206.89234974238678</v>
      </c>
      <c r="V25">
        <v>41.5</v>
      </c>
      <c r="W25" s="77">
        <f t="shared" si="14"/>
        <v>141.63395173628135</v>
      </c>
      <c r="X25">
        <v>2.15</v>
      </c>
      <c r="Y25" s="47">
        <f t="shared" si="15"/>
        <v>6.4560589680513587</v>
      </c>
      <c r="Z25" s="47">
        <f t="shared" si="16"/>
        <v>26.695053128361202</v>
      </c>
    </row>
    <row r="26" spans="1:26" ht="15" customHeight="1" thickBot="1">
      <c r="A26">
        <v>9.5</v>
      </c>
      <c r="B26" t="s">
        <v>165</v>
      </c>
      <c r="C26">
        <v>0.05</v>
      </c>
      <c r="D26">
        <v>30</v>
      </c>
      <c r="E26" s="37">
        <f t="shared" si="0"/>
        <v>9.5714285714285712</v>
      </c>
      <c r="F26">
        <v>30</v>
      </c>
      <c r="G26" s="71">
        <f t="shared" si="1"/>
        <v>1.4285714285714286</v>
      </c>
      <c r="H26" s="39">
        <f t="shared" si="2"/>
        <v>30</v>
      </c>
      <c r="I26">
        <v>30</v>
      </c>
      <c r="J26" s="71">
        <f t="shared" si="3"/>
        <v>7.1428571428571438E-2</v>
      </c>
      <c r="K26" s="71">
        <f t="shared" si="4"/>
        <v>9.6428571428571423</v>
      </c>
      <c r="L26" s="72">
        <f t="shared" si="5"/>
        <v>44.933682179478971</v>
      </c>
      <c r="M26" s="73">
        <f t="shared" si="6"/>
        <v>0.99768771998283778</v>
      </c>
      <c r="N26" s="73">
        <f t="shared" si="7"/>
        <v>0.70792476765876677</v>
      </c>
      <c r="O26" s="74">
        <f t="shared" si="8"/>
        <v>29.207523234123322</v>
      </c>
      <c r="P26" s="75">
        <f t="shared" si="9"/>
        <v>1.412579479747796</v>
      </c>
      <c r="Q26" s="37">
        <f t="shared" si="10"/>
        <v>7.0628973987389806E-2</v>
      </c>
      <c r="R26" s="43">
        <f t="shared" si="11"/>
        <v>9.6412579479747791</v>
      </c>
      <c r="S26" s="76">
        <f t="shared" si="12"/>
        <v>0.70628784736485528</v>
      </c>
      <c r="T26">
        <v>150</v>
      </c>
      <c r="U26" s="44">
        <f t="shared" si="13"/>
        <v>212.37799936618867</v>
      </c>
      <c r="V26">
        <v>41.5</v>
      </c>
      <c r="W26" s="77">
        <f t="shared" si="14"/>
        <v>142.86148393416528</v>
      </c>
      <c r="X26">
        <v>2.15</v>
      </c>
      <c r="Y26" s="47">
        <f t="shared" si="15"/>
        <v>6.446208947473683</v>
      </c>
      <c r="Z26" s="47">
        <f t="shared" si="16"/>
        <v>26.654324438623743</v>
      </c>
    </row>
    <row r="27" spans="1:26" ht="15" customHeight="1" thickBot="1">
      <c r="A27">
        <v>10</v>
      </c>
      <c r="B27" t="s">
        <v>165</v>
      </c>
      <c r="C27">
        <v>0.05</v>
      </c>
      <c r="D27">
        <v>35</v>
      </c>
      <c r="E27" s="37">
        <f t="shared" si="0"/>
        <v>10.071428571428571</v>
      </c>
      <c r="F27">
        <v>30</v>
      </c>
      <c r="G27" s="71">
        <f t="shared" si="1"/>
        <v>1.4285714285714286</v>
      </c>
      <c r="H27" s="39">
        <f t="shared" si="2"/>
        <v>35</v>
      </c>
      <c r="I27">
        <v>35</v>
      </c>
      <c r="J27" s="71">
        <f t="shared" si="3"/>
        <v>7.1428571428571438E-2</v>
      </c>
      <c r="K27" s="71">
        <f t="shared" si="4"/>
        <v>10.142857142857142</v>
      </c>
      <c r="L27" s="72">
        <f t="shared" si="5"/>
        <v>47.886126164135874</v>
      </c>
      <c r="M27" s="73">
        <f t="shared" si="6"/>
        <v>1.1061833112812078</v>
      </c>
      <c r="N27" s="73">
        <f t="shared" si="7"/>
        <v>0.67060627496193259</v>
      </c>
      <c r="O27" s="74">
        <f t="shared" si="8"/>
        <v>32.939372503806737</v>
      </c>
      <c r="P27" s="75">
        <f t="shared" si="9"/>
        <v>1.4911879553420009</v>
      </c>
      <c r="Q27" s="37">
        <f t="shared" si="10"/>
        <v>7.455939776710005E-2</v>
      </c>
      <c r="R27" s="43">
        <f t="shared" si="11"/>
        <v>10.1491187955342</v>
      </c>
      <c r="S27" s="76">
        <f t="shared" si="12"/>
        <v>0.74181346980334673</v>
      </c>
      <c r="T27">
        <v>150</v>
      </c>
      <c r="U27" s="44">
        <f t="shared" si="13"/>
        <v>202.2071667689786</v>
      </c>
      <c r="V27">
        <v>41.5</v>
      </c>
      <c r="W27" s="77">
        <f t="shared" si="14"/>
        <v>140.57705455565716</v>
      </c>
      <c r="X27">
        <v>2.15</v>
      </c>
      <c r="Y27" s="47">
        <f t="shared" si="15"/>
        <v>7.5618654974075215</v>
      </c>
      <c r="Z27" s="47">
        <f t="shared" si="16"/>
        <v>31.267434545094357</v>
      </c>
    </row>
    <row r="28" spans="1:26" ht="15" customHeight="1" thickBot="1">
      <c r="A28">
        <v>10.5</v>
      </c>
      <c r="B28" t="s">
        <v>165</v>
      </c>
      <c r="C28">
        <v>0.05</v>
      </c>
      <c r="D28">
        <v>35</v>
      </c>
      <c r="E28" s="37">
        <f t="shared" si="0"/>
        <v>10.571428571428571</v>
      </c>
      <c r="F28">
        <v>30</v>
      </c>
      <c r="G28" s="71">
        <f t="shared" si="1"/>
        <v>1.4285714285714286</v>
      </c>
      <c r="H28" s="39">
        <f t="shared" si="2"/>
        <v>35</v>
      </c>
      <c r="I28">
        <v>35</v>
      </c>
      <c r="J28" s="71">
        <f t="shared" si="3"/>
        <v>7.1428571428571438E-2</v>
      </c>
      <c r="K28" s="71">
        <f t="shared" si="4"/>
        <v>10.642857142857142</v>
      </c>
      <c r="L28" s="72">
        <f t="shared" si="5"/>
        <v>46.502273171405719</v>
      </c>
      <c r="M28" s="73">
        <f t="shared" si="6"/>
        <v>1.0538638303422316</v>
      </c>
      <c r="N28" s="73">
        <f t="shared" si="7"/>
        <v>0.68832580645608277</v>
      </c>
      <c r="O28" s="74">
        <f t="shared" si="8"/>
        <v>31.167419354391722</v>
      </c>
      <c r="P28" s="75">
        <f t="shared" si="9"/>
        <v>1.4528003899034447</v>
      </c>
      <c r="Q28" s="37">
        <f t="shared" si="10"/>
        <v>7.2640019495172237E-2</v>
      </c>
      <c r="R28" s="43">
        <f t="shared" si="11"/>
        <v>10.645280038990345</v>
      </c>
      <c r="S28" s="76">
        <f t="shared" si="12"/>
        <v>0.72540167091521313</v>
      </c>
      <c r="T28">
        <v>150</v>
      </c>
      <c r="U28" s="44">
        <f t="shared" si="13"/>
        <v>206.78198853712374</v>
      </c>
      <c r="V28">
        <v>41.5</v>
      </c>
      <c r="W28" s="77">
        <f t="shared" si="14"/>
        <v>141.60914685068246</v>
      </c>
      <c r="X28">
        <v>2.15</v>
      </c>
      <c r="Y28" s="47">
        <f t="shared" si="15"/>
        <v>7.532401362531238</v>
      </c>
      <c r="Z28" s="47">
        <f t="shared" si="16"/>
        <v>31.145603773443124</v>
      </c>
    </row>
    <row r="29" spans="1:26" ht="15" customHeight="1" thickBot="1">
      <c r="A29">
        <v>11</v>
      </c>
      <c r="B29" t="s">
        <v>165</v>
      </c>
      <c r="C29">
        <v>0.05</v>
      </c>
      <c r="D29">
        <v>35</v>
      </c>
      <c r="E29" s="37">
        <f t="shared" si="0"/>
        <v>11.071428571428571</v>
      </c>
      <c r="F29">
        <v>30</v>
      </c>
      <c r="G29" s="71">
        <f t="shared" si="1"/>
        <v>1.4285714285714286</v>
      </c>
      <c r="H29" s="39">
        <f t="shared" si="2"/>
        <v>35</v>
      </c>
      <c r="I29">
        <v>35</v>
      </c>
      <c r="J29" s="71">
        <f t="shared" si="3"/>
        <v>7.1428571428571438E-2</v>
      </c>
      <c r="K29" s="71">
        <f t="shared" si="4"/>
        <v>11.142857142857142</v>
      </c>
      <c r="L29" s="72">
        <f t="shared" si="5"/>
        <v>45.17906052943696</v>
      </c>
      <c r="M29" s="73">
        <f t="shared" si="6"/>
        <v>1.0062699799396795</v>
      </c>
      <c r="N29" s="73">
        <f t="shared" si="7"/>
        <v>0.70489349408282465</v>
      </c>
      <c r="O29" s="74">
        <f t="shared" si="8"/>
        <v>29.510650591717535</v>
      </c>
      <c r="P29" s="75">
        <f t="shared" si="9"/>
        <v>1.4186540355307926</v>
      </c>
      <c r="Q29" s="37">
        <f t="shared" si="10"/>
        <v>7.0932701776539639E-2</v>
      </c>
      <c r="R29" s="43">
        <f t="shared" si="11"/>
        <v>11.14186540355308</v>
      </c>
      <c r="S29" s="76">
        <f t="shared" si="12"/>
        <v>0.70931316215033458</v>
      </c>
      <c r="T29">
        <v>150</v>
      </c>
      <c r="U29" s="44">
        <f t="shared" si="13"/>
        <v>211.47217900942942</v>
      </c>
      <c r="V29">
        <v>41.5</v>
      </c>
      <c r="W29" s="77">
        <f t="shared" si="14"/>
        <v>142.65951519599201</v>
      </c>
      <c r="X29">
        <v>2.15</v>
      </c>
      <c r="Y29" s="47">
        <f t="shared" si="15"/>
        <v>7.5209953245458312</v>
      </c>
      <c r="Z29" s="47">
        <f t="shared" si="16"/>
        <v>31.098441132656951</v>
      </c>
    </row>
    <row r="30" spans="1:26" ht="15" customHeight="1" thickBot="1">
      <c r="A30">
        <v>11.5</v>
      </c>
      <c r="B30" t="s">
        <v>165</v>
      </c>
      <c r="C30">
        <v>0.05</v>
      </c>
      <c r="D30">
        <v>35</v>
      </c>
      <c r="E30" s="37">
        <f t="shared" si="0"/>
        <v>11.571428571428571</v>
      </c>
      <c r="F30">
        <v>30</v>
      </c>
      <c r="G30" s="71">
        <f t="shared" si="1"/>
        <v>1.4285714285714286</v>
      </c>
      <c r="H30" s="39">
        <f t="shared" si="2"/>
        <v>35</v>
      </c>
      <c r="I30">
        <v>35</v>
      </c>
      <c r="J30" s="71">
        <f t="shared" si="3"/>
        <v>7.1428571428571438E-2</v>
      </c>
      <c r="K30" s="71">
        <f t="shared" si="4"/>
        <v>11.642857142857142</v>
      </c>
      <c r="L30" s="72">
        <f t="shared" si="5"/>
        <v>43.913909747574472</v>
      </c>
      <c r="M30" s="73">
        <f t="shared" si="6"/>
        <v>0.96278917833734767</v>
      </c>
      <c r="N30" s="73">
        <f t="shared" si="7"/>
        <v>0.72038276173479454</v>
      </c>
      <c r="O30" s="74">
        <f t="shared" si="8"/>
        <v>27.961723826520547</v>
      </c>
      <c r="P30" s="75">
        <f t="shared" si="9"/>
        <v>1.3881509290864251</v>
      </c>
      <c r="Q30" s="37">
        <f t="shared" si="10"/>
        <v>6.9407546454321262E-2</v>
      </c>
      <c r="R30" s="43">
        <f t="shared" si="11"/>
        <v>11.638815092908642</v>
      </c>
      <c r="S30" s="76">
        <f t="shared" si="12"/>
        <v>0.69357672725903241</v>
      </c>
      <c r="T30">
        <v>150</v>
      </c>
      <c r="U30" s="44">
        <f t="shared" si="13"/>
        <v>216.27023241219425</v>
      </c>
      <c r="V30">
        <v>41.5</v>
      </c>
      <c r="W30" s="77">
        <f t="shared" si="14"/>
        <v>143.72609661322304</v>
      </c>
      <c r="X30">
        <v>2.15</v>
      </c>
      <c r="Y30" s="47">
        <f t="shared" si="15"/>
        <v>7.5252790409796342</v>
      </c>
      <c r="Z30" s="47">
        <f t="shared" si="16"/>
        <v>31.116153802004167</v>
      </c>
    </row>
    <row r="31" spans="1:26" ht="15" customHeight="1" thickBot="1">
      <c r="A31">
        <v>12</v>
      </c>
      <c r="B31" t="s">
        <v>165</v>
      </c>
      <c r="C31">
        <v>0.05</v>
      </c>
      <c r="D31">
        <v>40</v>
      </c>
      <c r="E31" s="37">
        <f t="shared" si="0"/>
        <v>12.071428571428571</v>
      </c>
      <c r="F31">
        <v>30</v>
      </c>
      <c r="G31" s="71">
        <f t="shared" si="1"/>
        <v>1.4285714285714286</v>
      </c>
      <c r="H31" s="39">
        <f t="shared" si="2"/>
        <v>40</v>
      </c>
      <c r="I31">
        <v>40</v>
      </c>
      <c r="J31" s="71">
        <f t="shared" si="3"/>
        <v>7.1428571428571438E-2</v>
      </c>
      <c r="K31" s="71">
        <f t="shared" si="4"/>
        <v>12.142857142857142</v>
      </c>
      <c r="L31" s="72">
        <f t="shared" si="5"/>
        <v>46.526445435956816</v>
      </c>
      <c r="M31" s="73">
        <f t="shared" si="6"/>
        <v>1.0547546704355049</v>
      </c>
      <c r="N31" s="73">
        <f t="shared" si="7"/>
        <v>0.68801970869156825</v>
      </c>
      <c r="O31" s="74">
        <f t="shared" si="8"/>
        <v>31.198029130843175</v>
      </c>
      <c r="P31" s="75">
        <f t="shared" si="9"/>
        <v>1.453446736143265</v>
      </c>
      <c r="Q31" s="37">
        <f t="shared" si="10"/>
        <v>7.2672336807163257E-2</v>
      </c>
      <c r="R31" s="43">
        <f t="shared" si="11"/>
        <v>12.145344673614327</v>
      </c>
      <c r="S31" s="76">
        <f t="shared" si="12"/>
        <v>0.72569200109410714</v>
      </c>
      <c r="T31">
        <v>150</v>
      </c>
      <c r="U31" s="44">
        <f t="shared" si="13"/>
        <v>206.69926053180808</v>
      </c>
      <c r="V31">
        <v>41.5</v>
      </c>
      <c r="W31" s="77">
        <f t="shared" si="14"/>
        <v>141.59054997879295</v>
      </c>
      <c r="X31">
        <v>2.15</v>
      </c>
      <c r="Y31" s="47">
        <f t="shared" si="15"/>
        <v>8.6087434974489927</v>
      </c>
      <c r="Z31" s="47">
        <f t="shared" si="16"/>
        <v>35.59615334526584</v>
      </c>
    </row>
    <row r="32" spans="1:26" ht="15" customHeight="1" thickBot="1">
      <c r="A32">
        <v>12.5</v>
      </c>
      <c r="B32" t="s">
        <v>165</v>
      </c>
      <c r="C32">
        <v>0.05</v>
      </c>
      <c r="D32">
        <v>40</v>
      </c>
      <c r="E32" s="37">
        <f t="shared" si="0"/>
        <v>12.571428571428571</v>
      </c>
      <c r="F32">
        <v>30</v>
      </c>
      <c r="G32" s="71">
        <f t="shared" si="1"/>
        <v>1.4285714285714286</v>
      </c>
      <c r="H32" s="39">
        <f t="shared" si="2"/>
        <v>40</v>
      </c>
      <c r="I32">
        <v>40</v>
      </c>
      <c r="J32" s="71">
        <f t="shared" si="3"/>
        <v>7.1428571428571438E-2</v>
      </c>
      <c r="K32" s="71">
        <f t="shared" si="4"/>
        <v>12.642857142857142</v>
      </c>
      <c r="L32" s="72">
        <f t="shared" si="5"/>
        <v>45.364475747547274</v>
      </c>
      <c r="M32" s="73">
        <f t="shared" si="6"/>
        <v>1.0128042005886384</v>
      </c>
      <c r="N32" s="73">
        <f t="shared" si="7"/>
        <v>0.70259439456684691</v>
      </c>
      <c r="O32" s="74">
        <f t="shared" si="8"/>
        <v>29.740560543315304</v>
      </c>
      <c r="P32" s="75">
        <f t="shared" si="9"/>
        <v>1.4232962968862071</v>
      </c>
      <c r="Q32" s="37">
        <f t="shared" si="10"/>
        <v>7.1164814844310351E-2</v>
      </c>
      <c r="R32" s="43">
        <f t="shared" si="11"/>
        <v>12.642329629688621</v>
      </c>
      <c r="S32" s="76">
        <f t="shared" si="12"/>
        <v>0.71159055412733374</v>
      </c>
      <c r="T32">
        <v>150</v>
      </c>
      <c r="U32" s="44">
        <f t="shared" si="13"/>
        <v>210.79537822695528</v>
      </c>
      <c r="V32">
        <v>41.5</v>
      </c>
      <c r="W32" s="77">
        <f t="shared" si="14"/>
        <v>142.50842360791452</v>
      </c>
      <c r="X32">
        <v>2.15</v>
      </c>
      <c r="Y32" s="47">
        <f t="shared" si="15"/>
        <v>8.5961556656218132</v>
      </c>
      <c r="Z32" s="47">
        <f t="shared" si="16"/>
        <v>35.54410412436183</v>
      </c>
    </row>
    <row r="33" spans="1:26" ht="15" customHeight="1" thickBot="1">
      <c r="A33">
        <v>13</v>
      </c>
      <c r="B33" t="s">
        <v>165</v>
      </c>
      <c r="C33">
        <v>0.05</v>
      </c>
      <c r="D33">
        <v>40</v>
      </c>
      <c r="E33" s="37">
        <f t="shared" si="0"/>
        <v>13.071428571428571</v>
      </c>
      <c r="F33">
        <v>30</v>
      </c>
      <c r="G33" s="71">
        <f t="shared" si="1"/>
        <v>1.4285714285714286</v>
      </c>
      <c r="H33" s="39">
        <f t="shared" si="2"/>
        <v>40</v>
      </c>
      <c r="I33">
        <v>40</v>
      </c>
      <c r="J33" s="71">
        <f t="shared" si="3"/>
        <v>7.1428571428571438E-2</v>
      </c>
      <c r="K33" s="71">
        <f t="shared" si="4"/>
        <v>13.142857142857142</v>
      </c>
      <c r="L33" s="72">
        <f t="shared" si="5"/>
        <v>44.247242681693216</v>
      </c>
      <c r="M33" s="73">
        <f t="shared" si="6"/>
        <v>0.97406305630382706</v>
      </c>
      <c r="N33" s="73">
        <f t="shared" si="7"/>
        <v>0.71633553245250658</v>
      </c>
      <c r="O33" s="74">
        <f t="shared" si="8"/>
        <v>28.36644675474934</v>
      </c>
      <c r="P33" s="75">
        <f t="shared" si="9"/>
        <v>1.395993853015103</v>
      </c>
      <c r="Q33" s="37">
        <f t="shared" si="10"/>
        <v>6.9799692650755155E-2</v>
      </c>
      <c r="R33" s="43">
        <f t="shared" si="11"/>
        <v>13.13959938530151</v>
      </c>
      <c r="S33" s="76">
        <f t="shared" si="12"/>
        <v>0.69775597807971801</v>
      </c>
      <c r="T33">
        <v>150</v>
      </c>
      <c r="U33" s="44">
        <f t="shared" si="13"/>
        <v>214.97486902629251</v>
      </c>
      <c r="V33">
        <v>41.5</v>
      </c>
      <c r="W33" s="77">
        <f t="shared" si="14"/>
        <v>143.43892586003358</v>
      </c>
      <c r="X33">
        <v>2.15</v>
      </c>
      <c r="Y33" s="47">
        <f t="shared" si="15"/>
        <v>8.5975370472064228</v>
      </c>
      <c r="Z33" s="47">
        <f t="shared" si="16"/>
        <v>35.54981597658842</v>
      </c>
    </row>
    <row r="34" spans="1:26" ht="15" customHeight="1" thickBot="1">
      <c r="A34">
        <v>13.5</v>
      </c>
      <c r="B34" t="s">
        <v>165</v>
      </c>
      <c r="C34">
        <v>0.05</v>
      </c>
      <c r="D34">
        <v>45</v>
      </c>
      <c r="E34" s="37">
        <f t="shared" si="0"/>
        <v>13.571428571428571</v>
      </c>
      <c r="F34">
        <v>30</v>
      </c>
      <c r="G34" s="71">
        <f t="shared" si="1"/>
        <v>1.4285714285714286</v>
      </c>
      <c r="H34" s="39">
        <f t="shared" si="2"/>
        <v>45</v>
      </c>
      <c r="I34">
        <v>45</v>
      </c>
      <c r="J34" s="71">
        <f t="shared" si="3"/>
        <v>7.1428571428571438E-2</v>
      </c>
      <c r="K34" s="71">
        <f t="shared" si="4"/>
        <v>13.642857142857142</v>
      </c>
      <c r="L34" s="72">
        <f t="shared" si="5"/>
        <v>46.545259464952807</v>
      </c>
      <c r="M34" s="73">
        <f t="shared" si="6"/>
        <v>1.055448587981844</v>
      </c>
      <c r="N34" s="73">
        <f t="shared" si="7"/>
        <v>0.68778137848212761</v>
      </c>
      <c r="O34" s="74">
        <f t="shared" si="8"/>
        <v>31.221862151787239</v>
      </c>
      <c r="P34" s="75">
        <f t="shared" si="9"/>
        <v>1.4539503849419579</v>
      </c>
      <c r="Q34" s="37">
        <f t="shared" si="10"/>
        <v>7.26975192470979E-2</v>
      </c>
      <c r="R34" s="43">
        <f t="shared" si="11"/>
        <v>13.645395038494195</v>
      </c>
      <c r="S34" s="76">
        <f t="shared" si="12"/>
        <v>0.72591788475916774</v>
      </c>
      <c r="T34">
        <v>150</v>
      </c>
      <c r="U34" s="44">
        <f t="shared" si="13"/>
        <v>206.63494198075085</v>
      </c>
      <c r="V34">
        <v>41.5</v>
      </c>
      <c r="W34" s="77">
        <f t="shared" si="14"/>
        <v>141.57608977893801</v>
      </c>
      <c r="X34">
        <v>2.15</v>
      </c>
      <c r="Y34" s="47">
        <f t="shared" si="15"/>
        <v>9.6850854414498162</v>
      </c>
      <c r="Z34" s="47">
        <f t="shared" si="16"/>
        <v>40.046702127669249</v>
      </c>
    </row>
    <row r="35" spans="1:26" ht="15" customHeight="1" thickBot="1">
      <c r="A35">
        <v>14</v>
      </c>
      <c r="B35" t="s">
        <v>165</v>
      </c>
      <c r="C35">
        <v>0.05</v>
      </c>
      <c r="D35">
        <v>45</v>
      </c>
      <c r="E35" s="37">
        <f t="shared" si="0"/>
        <v>14.071428571428571</v>
      </c>
      <c r="F35">
        <v>30</v>
      </c>
      <c r="G35" s="71">
        <f t="shared" si="1"/>
        <v>1.4285714285714286</v>
      </c>
      <c r="H35" s="39">
        <f t="shared" si="2"/>
        <v>44.999999999999993</v>
      </c>
      <c r="I35">
        <v>45</v>
      </c>
      <c r="J35" s="71">
        <f t="shared" si="3"/>
        <v>7.1428571428571438E-2</v>
      </c>
      <c r="K35" s="71">
        <f t="shared" si="4"/>
        <v>14.142857142857142</v>
      </c>
      <c r="L35" s="72">
        <f t="shared" si="5"/>
        <v>45.509511636009272</v>
      </c>
      <c r="M35" s="73">
        <f t="shared" si="6"/>
        <v>1.0179453386626922</v>
      </c>
      <c r="N35" s="73">
        <f t="shared" si="7"/>
        <v>0.70079085805309693</v>
      </c>
      <c r="O35" s="74">
        <f t="shared" si="8"/>
        <v>29.920914194690308</v>
      </c>
      <c r="P35" s="75">
        <f t="shared" si="9"/>
        <v>1.4269592539750753</v>
      </c>
      <c r="Q35" s="37">
        <f t="shared" si="10"/>
        <v>7.1347962698753764E-2</v>
      </c>
      <c r="R35" s="43">
        <f t="shared" si="11"/>
        <v>14.142695925397508</v>
      </c>
      <c r="S35" s="76">
        <f t="shared" si="12"/>
        <v>0.71336678733257841</v>
      </c>
      <c r="T35">
        <v>150</v>
      </c>
      <c r="U35" s="44">
        <f t="shared" si="13"/>
        <v>210.27051253798919</v>
      </c>
      <c r="V35">
        <v>41.5</v>
      </c>
      <c r="W35" s="77">
        <f t="shared" si="14"/>
        <v>142.39114021279383</v>
      </c>
      <c r="X35">
        <v>2.15</v>
      </c>
      <c r="Y35" s="47">
        <f t="shared" si="15"/>
        <v>9.6715695541390563</v>
      </c>
      <c r="Z35" s="47">
        <f t="shared" si="16"/>
        <v>39.990815505254062</v>
      </c>
    </row>
    <row r="36" spans="1:26" ht="15" customHeight="1" thickBot="1">
      <c r="A36">
        <v>14.5</v>
      </c>
      <c r="B36" t="s">
        <v>165</v>
      </c>
      <c r="C36">
        <v>0.05</v>
      </c>
      <c r="D36">
        <v>45</v>
      </c>
      <c r="E36" s="37">
        <f t="shared" si="0"/>
        <v>14.571428571428571</v>
      </c>
      <c r="F36">
        <v>30</v>
      </c>
      <c r="G36" s="71">
        <f t="shared" si="1"/>
        <v>1.4285714285714286</v>
      </c>
      <c r="H36" s="39">
        <f t="shared" si="2"/>
        <v>45</v>
      </c>
      <c r="I36">
        <v>45</v>
      </c>
      <c r="J36" s="71">
        <f t="shared" si="3"/>
        <v>7.1428571428571438E-2</v>
      </c>
      <c r="K36" s="71">
        <f t="shared" si="4"/>
        <v>14.642857142857142</v>
      </c>
      <c r="L36" s="72">
        <f t="shared" si="5"/>
        <v>44.509285167244009</v>
      </c>
      <c r="M36" s="73">
        <f t="shared" si="6"/>
        <v>0.9830158417477961</v>
      </c>
      <c r="N36" s="73">
        <f t="shared" si="7"/>
        <v>0.71313686200796356</v>
      </c>
      <c r="O36" s="74">
        <f t="shared" si="8"/>
        <v>28.686313799203649</v>
      </c>
      <c r="P36" s="75">
        <f t="shared" si="9"/>
        <v>1.4022553779990032</v>
      </c>
      <c r="Q36" s="37">
        <f t="shared" si="10"/>
        <v>7.0112768899950162E-2</v>
      </c>
      <c r="R36" s="43">
        <f t="shared" si="11"/>
        <v>14.6402255377999</v>
      </c>
      <c r="S36" s="76">
        <f t="shared" si="12"/>
        <v>0.70102483268814009</v>
      </c>
      <c r="T36">
        <v>150</v>
      </c>
      <c r="U36" s="44">
        <f t="shared" si="13"/>
        <v>213.97244862897665</v>
      </c>
      <c r="V36">
        <v>41.5</v>
      </c>
      <c r="W36" s="77">
        <f t="shared" si="14"/>
        <v>143.21630279502412</v>
      </c>
      <c r="X36">
        <v>2.15</v>
      </c>
      <c r="Y36" s="47">
        <f t="shared" si="15"/>
        <v>9.6706408361261254</v>
      </c>
      <c r="Z36" s="47">
        <f t="shared" si="16"/>
        <v>39.986975364261056</v>
      </c>
    </row>
    <row r="37" spans="1:26" ht="15" customHeight="1" thickBot="1">
      <c r="A37">
        <v>15</v>
      </c>
      <c r="B37" t="s">
        <v>165</v>
      </c>
      <c r="C37">
        <v>0.05</v>
      </c>
      <c r="D37">
        <v>50</v>
      </c>
      <c r="E37" s="37">
        <f t="shared" si="0"/>
        <v>15.071428571428571</v>
      </c>
      <c r="F37">
        <v>30</v>
      </c>
      <c r="G37" s="71">
        <f t="shared" si="1"/>
        <v>1.4285714285714286</v>
      </c>
      <c r="H37" s="39">
        <f t="shared" si="2"/>
        <v>50</v>
      </c>
      <c r="I37">
        <v>50</v>
      </c>
      <c r="J37" s="71">
        <f t="shared" si="3"/>
        <v>7.1428571428571438E-2</v>
      </c>
      <c r="K37" s="71">
        <f t="shared" si="4"/>
        <v>15.142857142857142</v>
      </c>
      <c r="L37" s="72">
        <f t="shared" si="5"/>
        <v>46.560319121879608</v>
      </c>
      <c r="M37" s="73">
        <f t="shared" si="6"/>
        <v>1.0560043797606655</v>
      </c>
      <c r="N37" s="73">
        <f t="shared" si="7"/>
        <v>0.68759055403919622</v>
      </c>
      <c r="O37" s="74">
        <f t="shared" si="8"/>
        <v>31.240944596080382</v>
      </c>
      <c r="P37" s="75">
        <f t="shared" si="9"/>
        <v>1.4543538943715548</v>
      </c>
      <c r="Q37" s="37">
        <f t="shared" si="10"/>
        <v>7.2717694718577738E-2</v>
      </c>
      <c r="R37" s="43">
        <f t="shared" si="11"/>
        <v>15.145435389437155</v>
      </c>
      <c r="S37" s="76">
        <f t="shared" si="12"/>
        <v>0.72609863654745366</v>
      </c>
      <c r="T37">
        <v>150</v>
      </c>
      <c r="U37" s="44">
        <f t="shared" si="13"/>
        <v>206.58350319074984</v>
      </c>
      <c r="V37">
        <v>41.5</v>
      </c>
      <c r="W37" s="77">
        <f t="shared" si="14"/>
        <v>141.5645241646364</v>
      </c>
      <c r="X37">
        <v>2.15</v>
      </c>
      <c r="Y37" s="47">
        <f t="shared" si="15"/>
        <v>10.761427242080883</v>
      </c>
      <c r="Z37" s="47">
        <f t="shared" si="16"/>
        <v>44.497250317255379</v>
      </c>
    </row>
    <row r="38" spans="1:26" ht="15" customHeight="1" thickBot="1">
      <c r="A38">
        <v>15.5</v>
      </c>
      <c r="B38" t="s">
        <v>165</v>
      </c>
      <c r="C38">
        <v>0.05</v>
      </c>
      <c r="D38">
        <v>50</v>
      </c>
      <c r="E38" s="37">
        <f t="shared" si="0"/>
        <v>15.571428571428571</v>
      </c>
      <c r="F38">
        <v>30</v>
      </c>
      <c r="G38" s="71">
        <f t="shared" si="1"/>
        <v>1.4285714285714286</v>
      </c>
      <c r="H38" s="39">
        <f t="shared" si="2"/>
        <v>50</v>
      </c>
      <c r="I38">
        <v>50</v>
      </c>
      <c r="J38" s="71">
        <f t="shared" si="3"/>
        <v>7.1428571428571438E-2</v>
      </c>
      <c r="K38" s="71">
        <f t="shared" si="4"/>
        <v>15.642857142857142</v>
      </c>
      <c r="L38" s="72">
        <f t="shared" si="5"/>
        <v>45.626062128671023</v>
      </c>
      <c r="M38" s="73">
        <f t="shared" si="6"/>
        <v>1.0220959822454148</v>
      </c>
      <c r="N38" s="73">
        <f t="shared" si="7"/>
        <v>0.69933828569576006</v>
      </c>
      <c r="O38" s="74">
        <f t="shared" si="8"/>
        <v>30.066171430423992</v>
      </c>
      <c r="P38" s="75">
        <f t="shared" si="9"/>
        <v>1.429923143711654</v>
      </c>
      <c r="Q38" s="37">
        <f t="shared" si="10"/>
        <v>7.1496157185582707E-2</v>
      </c>
      <c r="R38" s="43">
        <f t="shared" si="11"/>
        <v>15.642992314371165</v>
      </c>
      <c r="S38" s="76">
        <f t="shared" si="12"/>
        <v>0.71479085204003234</v>
      </c>
      <c r="T38">
        <v>150</v>
      </c>
      <c r="U38" s="44">
        <f t="shared" si="13"/>
        <v>209.85159445157413</v>
      </c>
      <c r="V38">
        <v>41.5</v>
      </c>
      <c r="W38" s="77">
        <f t="shared" si="14"/>
        <v>142.29746187814865</v>
      </c>
      <c r="X38">
        <v>2.15</v>
      </c>
      <c r="Y38" s="47">
        <f t="shared" si="15"/>
        <v>10.747163253795087</v>
      </c>
      <c r="Z38" s="47">
        <f t="shared" si="16"/>
        <v>44.438270384296899</v>
      </c>
    </row>
    <row r="39" spans="1:26" ht="15" customHeight="1" thickBot="1">
      <c r="A39">
        <v>16</v>
      </c>
      <c r="B39" t="s">
        <v>165</v>
      </c>
      <c r="C39">
        <v>0.05</v>
      </c>
      <c r="D39">
        <v>50</v>
      </c>
      <c r="E39" s="37">
        <f t="shared" si="0"/>
        <v>16.071428571428573</v>
      </c>
      <c r="F39">
        <v>30</v>
      </c>
      <c r="G39" s="71">
        <f t="shared" si="1"/>
        <v>1.4285714285714286</v>
      </c>
      <c r="H39" s="39">
        <f t="shared" si="2"/>
        <v>50</v>
      </c>
      <c r="I39">
        <v>50</v>
      </c>
      <c r="J39" s="71">
        <f t="shared" si="3"/>
        <v>7.1428571428571438E-2</v>
      </c>
      <c r="K39" s="71">
        <f t="shared" si="4"/>
        <v>16.142857142857142</v>
      </c>
      <c r="L39" s="72">
        <f t="shared" si="5"/>
        <v>44.72069009779436</v>
      </c>
      <c r="M39" s="73">
        <f t="shared" si="6"/>
        <v>0.99029744057555735</v>
      </c>
      <c r="N39" s="73">
        <f t="shared" si="7"/>
        <v>0.71054543381016988</v>
      </c>
      <c r="O39" s="74">
        <f t="shared" si="8"/>
        <v>28.945456618983016</v>
      </c>
      <c r="P39" s="75">
        <f t="shared" si="9"/>
        <v>1.4073695395348373</v>
      </c>
      <c r="Q39" s="37">
        <f t="shared" si="10"/>
        <v>7.0368476976741867E-2</v>
      </c>
      <c r="R39" s="43">
        <f t="shared" si="11"/>
        <v>16.140736953953486</v>
      </c>
      <c r="S39" s="76">
        <f t="shared" si="12"/>
        <v>0.70365132451486045</v>
      </c>
      <c r="T39">
        <v>150</v>
      </c>
      <c r="U39" s="44">
        <f t="shared" si="13"/>
        <v>213.17376202399538</v>
      </c>
      <c r="V39">
        <v>41.5</v>
      </c>
      <c r="W39" s="77">
        <f t="shared" si="14"/>
        <v>143.0386780452863</v>
      </c>
      <c r="X39">
        <v>2.15</v>
      </c>
      <c r="Y39" s="47">
        <f t="shared" si="15"/>
        <v>10.744352331040496</v>
      </c>
      <c r="Z39" s="47">
        <f t="shared" si="16"/>
        <v>44.426647545558147</v>
      </c>
    </row>
    <row r="40" spans="1:26" ht="15" customHeight="1" thickBot="1">
      <c r="A40">
        <v>16.5</v>
      </c>
      <c r="B40" t="s">
        <v>165</v>
      </c>
      <c r="C40">
        <v>0.05</v>
      </c>
      <c r="D40">
        <v>50</v>
      </c>
      <c r="E40" s="37">
        <f t="shared" si="0"/>
        <v>16.571428571428573</v>
      </c>
      <c r="F40">
        <v>30</v>
      </c>
      <c r="G40" s="71">
        <f t="shared" si="1"/>
        <v>1.4285714285714286</v>
      </c>
      <c r="H40" s="39">
        <f t="shared" si="2"/>
        <v>50</v>
      </c>
      <c r="I40">
        <v>50</v>
      </c>
      <c r="J40" s="71">
        <f t="shared" si="3"/>
        <v>7.1428571428571438E-2</v>
      </c>
      <c r="K40" s="71">
        <f t="shared" si="4"/>
        <v>16.642857142857142</v>
      </c>
      <c r="L40" s="72">
        <f t="shared" si="5"/>
        <v>43.84331553653243</v>
      </c>
      <c r="M40" s="73">
        <f t="shared" si="6"/>
        <v>0.96041777642026038</v>
      </c>
      <c r="N40" s="73">
        <f t="shared" si="7"/>
        <v>0.7212367715743937</v>
      </c>
      <c r="O40" s="74">
        <f t="shared" si="8"/>
        <v>27.876322842560626</v>
      </c>
      <c r="P40" s="75">
        <f t="shared" si="9"/>
        <v>1.3865072323158063</v>
      </c>
      <c r="Q40" s="37">
        <f t="shared" si="10"/>
        <v>6.9325361615790324E-2</v>
      </c>
      <c r="R40" s="43">
        <f t="shared" si="11"/>
        <v>16.638650723231581</v>
      </c>
      <c r="S40" s="76">
        <f t="shared" si="12"/>
        <v>0.6926886164280065</v>
      </c>
      <c r="T40">
        <v>150</v>
      </c>
      <c r="U40" s="44">
        <f t="shared" si="13"/>
        <v>216.54751708423666</v>
      </c>
      <c r="V40">
        <v>41.5</v>
      </c>
      <c r="W40" s="77">
        <f t="shared" si="14"/>
        <v>143.78749367888119</v>
      </c>
      <c r="X40">
        <v>2.15</v>
      </c>
      <c r="Y40" s="47">
        <f t="shared" si="15"/>
        <v>10.751949524709616</v>
      </c>
      <c r="Z40" s="47">
        <f t="shared" si="16"/>
        <v>44.458061057985347</v>
      </c>
    </row>
    <row r="41" spans="1:26" ht="15" customHeight="1" thickBot="1">
      <c r="A41">
        <v>17</v>
      </c>
      <c r="B41" t="s">
        <v>165</v>
      </c>
      <c r="C41">
        <v>0.05</v>
      </c>
      <c r="D41">
        <v>55</v>
      </c>
      <c r="E41" s="37">
        <f t="shared" ref="E41:E72" si="17">A41+J41</f>
        <v>17.071428571428573</v>
      </c>
      <c r="F41">
        <v>30</v>
      </c>
      <c r="G41" s="71">
        <f t="shared" ref="G41:G72" si="18">100/(100-F41)</f>
        <v>1.4285714285714286</v>
      </c>
      <c r="H41" s="39">
        <f t="shared" ref="H41:H72" si="19">3.1415926*E41*M41</f>
        <v>54.999999999999993</v>
      </c>
      <c r="I41">
        <v>55</v>
      </c>
      <c r="J41" s="71">
        <f t="shared" ref="J41:J72" si="20">G41*C41</f>
        <v>7.1428571428571438E-2</v>
      </c>
      <c r="K41" s="71">
        <f t="shared" ref="K41:K72" si="21">A41+2*J41</f>
        <v>17.142857142857142</v>
      </c>
      <c r="L41" s="72">
        <f t="shared" ref="L41:L72" si="22">ATAN(I41/(3.1415926*(A41+J41)))*180/3.1415926</f>
        <v>45.721767984423082</v>
      </c>
      <c r="M41" s="73">
        <f t="shared" ref="M41:M72" si="23">I41/(3.1415926*(A41+J41))</f>
        <v>1.0255172240269892</v>
      </c>
      <c r="N41" s="73">
        <f t="shared" ref="N41:N72" si="24">COS(L41*3.1415926/180)</f>
        <v>0.69814333664800121</v>
      </c>
      <c r="O41" s="74">
        <f t="shared" ref="O41:O72" si="25">(D41-I41*N41)/D41*100</f>
        <v>30.18566633519988</v>
      </c>
      <c r="P41" s="75">
        <f t="shared" ref="P41:P72" si="26">100/(100-O41)</f>
        <v>1.4323706143229908</v>
      </c>
      <c r="Q41" s="37">
        <f t="shared" ref="Q41:Q72" si="27">P41*C41</f>
        <v>7.1618530716149542E-2</v>
      </c>
      <c r="R41" s="43">
        <f t="shared" ref="R41:R72" si="28">A41+2*Q41</f>
        <v>17.143237061432298</v>
      </c>
      <c r="S41" s="76">
        <f t="shared" ref="S41:S72" si="29">SIN(L41*3.1415926/180)</f>
        <v>0.71595801657219793</v>
      </c>
      <c r="T41">
        <v>150</v>
      </c>
      <c r="U41" s="44">
        <f t="shared" ref="U41:U72" si="30">T41/S41</f>
        <v>209.5094915176131</v>
      </c>
      <c r="V41">
        <v>41.5</v>
      </c>
      <c r="W41" s="77">
        <f t="shared" ref="W41:W72" si="31">2*SQRT((1000*U41*C41/3.1415926)+(V41*V41))</f>
        <v>142.22091515454821</v>
      </c>
      <c r="X41">
        <v>2.15</v>
      </c>
      <c r="Y41" s="47">
        <f t="shared" ref="Y41:Y72" si="32">3.14*(A41+Q41)*Q41*P41*2.15</f>
        <v>11.822889089871836</v>
      </c>
      <c r="Z41" s="47">
        <f t="shared" ref="Z41:Z72" si="33">3.14*(A41+Q41)*Q41*P41*8.89</f>
        <v>48.886271632074717</v>
      </c>
    </row>
    <row r="42" spans="1:26" ht="15" customHeight="1" thickBot="1">
      <c r="A42">
        <v>17.5</v>
      </c>
      <c r="B42" t="s">
        <v>165</v>
      </c>
      <c r="C42">
        <v>0.05</v>
      </c>
      <c r="D42">
        <v>55</v>
      </c>
      <c r="E42" s="37">
        <f t="shared" si="17"/>
        <v>17.571428571428573</v>
      </c>
      <c r="F42">
        <v>30</v>
      </c>
      <c r="G42" s="71">
        <f t="shared" si="18"/>
        <v>1.4285714285714286</v>
      </c>
      <c r="H42" s="39">
        <f t="shared" si="19"/>
        <v>55</v>
      </c>
      <c r="I42">
        <v>55</v>
      </c>
      <c r="J42" s="71">
        <f t="shared" si="20"/>
        <v>7.1428571428571438E-2</v>
      </c>
      <c r="K42" s="71">
        <f t="shared" si="21"/>
        <v>17.642857142857142</v>
      </c>
      <c r="L42" s="72">
        <f t="shared" si="22"/>
        <v>44.894837753536876</v>
      </c>
      <c r="M42" s="73">
        <f t="shared" si="23"/>
        <v>0.99633583960345706</v>
      </c>
      <c r="N42" s="73">
        <f t="shared" si="24"/>
        <v>0.70840344203956929</v>
      </c>
      <c r="O42" s="74">
        <f t="shared" si="25"/>
        <v>29.159655796043065</v>
      </c>
      <c r="P42" s="75">
        <f t="shared" si="26"/>
        <v>1.411624987480147</v>
      </c>
      <c r="Q42" s="37">
        <f t="shared" si="27"/>
        <v>7.0581249374007352E-2</v>
      </c>
      <c r="R42" s="43">
        <f t="shared" si="28"/>
        <v>17.641162498748013</v>
      </c>
      <c r="S42" s="76">
        <f t="shared" si="29"/>
        <v>0.705807738202473</v>
      </c>
      <c r="T42">
        <v>150</v>
      </c>
      <c r="U42" s="44">
        <f t="shared" si="30"/>
        <v>212.5224645198916</v>
      </c>
      <c r="V42">
        <v>41.5</v>
      </c>
      <c r="W42" s="77">
        <f t="shared" si="31"/>
        <v>142.89366861185692</v>
      </c>
      <c r="X42">
        <v>2.15</v>
      </c>
      <c r="Y42" s="47">
        <f t="shared" si="32"/>
        <v>11.818515128792033</v>
      </c>
      <c r="Z42" s="47">
        <f t="shared" si="33"/>
        <v>48.868185811609855</v>
      </c>
    </row>
    <row r="43" spans="1:26" ht="15" customHeight="1" thickBot="1">
      <c r="A43">
        <v>18</v>
      </c>
      <c r="B43" t="s">
        <v>165</v>
      </c>
      <c r="C43">
        <v>0.05</v>
      </c>
      <c r="D43">
        <v>55</v>
      </c>
      <c r="E43" s="37">
        <f t="shared" si="17"/>
        <v>18.071428571428573</v>
      </c>
      <c r="F43">
        <v>30</v>
      </c>
      <c r="G43" s="71">
        <f t="shared" si="18"/>
        <v>1.4285714285714286</v>
      </c>
      <c r="H43" s="39">
        <f t="shared" si="19"/>
        <v>55</v>
      </c>
      <c r="I43">
        <v>55</v>
      </c>
      <c r="J43" s="71">
        <f t="shared" si="20"/>
        <v>7.1428571428571438E-2</v>
      </c>
      <c r="K43" s="71">
        <f t="shared" si="21"/>
        <v>18.142857142857142</v>
      </c>
      <c r="L43" s="72">
        <f t="shared" si="22"/>
        <v>44.091188838821687</v>
      </c>
      <c r="M43" s="73">
        <f t="shared" si="23"/>
        <v>0.96876923534565396</v>
      </c>
      <c r="N43" s="73">
        <f t="shared" si="24"/>
        <v>0.71823331850070937</v>
      </c>
      <c r="O43" s="74">
        <f t="shared" si="25"/>
        <v>28.176668149929068</v>
      </c>
      <c r="P43" s="75">
        <f t="shared" si="26"/>
        <v>1.3923052220516172</v>
      </c>
      <c r="Q43" s="37">
        <f t="shared" si="27"/>
        <v>6.9615261102580858E-2</v>
      </c>
      <c r="R43" s="43">
        <f t="shared" si="28"/>
        <v>18.13923052220516</v>
      </c>
      <c r="S43" s="76">
        <f t="shared" si="29"/>
        <v>0.69580234276370367</v>
      </c>
      <c r="T43">
        <v>150</v>
      </c>
      <c r="U43" s="44">
        <f t="shared" si="30"/>
        <v>215.57846356797967</v>
      </c>
      <c r="V43">
        <v>41.5</v>
      </c>
      <c r="W43" s="77">
        <f t="shared" si="31"/>
        <v>143.57280896642231</v>
      </c>
      <c r="X43">
        <v>2.15</v>
      </c>
      <c r="Y43" s="47">
        <f t="shared" si="32"/>
        <v>11.823768609870861</v>
      </c>
      <c r="Z43" s="47">
        <f t="shared" si="33"/>
        <v>48.889908345000919</v>
      </c>
    </row>
    <row r="44" spans="1:26" ht="15" customHeight="1" thickBot="1">
      <c r="A44">
        <v>18.5</v>
      </c>
      <c r="B44" t="s">
        <v>165</v>
      </c>
      <c r="C44">
        <v>0.05</v>
      </c>
      <c r="D44">
        <v>60</v>
      </c>
      <c r="E44" s="37">
        <f t="shared" si="17"/>
        <v>18.571428571428573</v>
      </c>
      <c r="F44">
        <v>30</v>
      </c>
      <c r="G44" s="71">
        <f t="shared" si="18"/>
        <v>1.4285714285714286</v>
      </c>
      <c r="H44" s="39">
        <f t="shared" si="19"/>
        <v>60</v>
      </c>
      <c r="I44">
        <v>60</v>
      </c>
      <c r="J44" s="71">
        <f t="shared" si="20"/>
        <v>7.1428571428571438E-2</v>
      </c>
      <c r="K44" s="71">
        <f t="shared" si="21"/>
        <v>18.642857142857142</v>
      </c>
      <c r="L44" s="72">
        <f t="shared" si="22"/>
        <v>45.801761761712967</v>
      </c>
      <c r="M44" s="73">
        <f t="shared" si="23"/>
        <v>1.0283858036746172</v>
      </c>
      <c r="N44" s="73">
        <f t="shared" si="24"/>
        <v>0.69714306834487794</v>
      </c>
      <c r="O44" s="74">
        <f t="shared" si="25"/>
        <v>30.28569316551221</v>
      </c>
      <c r="P44" s="75">
        <f t="shared" si="26"/>
        <v>1.4344257949435686</v>
      </c>
      <c r="Q44" s="37">
        <f t="shared" si="27"/>
        <v>7.1721289747178438E-2</v>
      </c>
      <c r="R44" s="43">
        <f t="shared" si="28"/>
        <v>18.643442579494359</v>
      </c>
      <c r="S44" s="76">
        <f t="shared" si="29"/>
        <v>0.71693203461603583</v>
      </c>
      <c r="T44">
        <v>150</v>
      </c>
      <c r="U44" s="44">
        <f t="shared" si="30"/>
        <v>209.22485362274941</v>
      </c>
      <c r="V44">
        <v>41.5</v>
      </c>
      <c r="W44" s="77">
        <f t="shared" si="31"/>
        <v>142.15719501982505</v>
      </c>
      <c r="X44">
        <v>2.15</v>
      </c>
      <c r="Y44" s="47">
        <f t="shared" si="32"/>
        <v>12.898714871112212</v>
      </c>
      <c r="Z44" s="47">
        <f t="shared" si="33"/>
        <v>53.334686141482592</v>
      </c>
    </row>
    <row r="45" spans="1:26" ht="15" customHeight="1" thickBot="1">
      <c r="A45">
        <v>19</v>
      </c>
      <c r="B45" t="s">
        <v>165</v>
      </c>
      <c r="C45">
        <v>0.05</v>
      </c>
      <c r="D45">
        <v>60</v>
      </c>
      <c r="E45" s="37">
        <f t="shared" si="17"/>
        <v>19.071428571428573</v>
      </c>
      <c r="F45">
        <v>30</v>
      </c>
      <c r="G45" s="71">
        <f t="shared" si="18"/>
        <v>1.4285714285714286</v>
      </c>
      <c r="H45" s="39">
        <f t="shared" si="19"/>
        <v>60</v>
      </c>
      <c r="I45">
        <v>60</v>
      </c>
      <c r="J45" s="71">
        <f t="shared" si="20"/>
        <v>7.1428571428571438E-2</v>
      </c>
      <c r="K45" s="71">
        <f t="shared" si="21"/>
        <v>19.142857142857142</v>
      </c>
      <c r="L45" s="72">
        <f t="shared" si="22"/>
        <v>45.040777148002483</v>
      </c>
      <c r="M45" s="73">
        <f t="shared" si="23"/>
        <v>1.0014243781101142</v>
      </c>
      <c r="N45" s="73">
        <f t="shared" si="24"/>
        <v>0.70660336693061365</v>
      </c>
      <c r="O45" s="74">
        <f t="shared" si="25"/>
        <v>29.339663306938636</v>
      </c>
      <c r="P45" s="75">
        <f t="shared" si="26"/>
        <v>1.4152211081923658</v>
      </c>
      <c r="Q45" s="37">
        <f t="shared" si="27"/>
        <v>7.0761055409618287E-2</v>
      </c>
      <c r="R45" s="43">
        <f t="shared" si="28"/>
        <v>19.141522110819235</v>
      </c>
      <c r="S45" s="76">
        <f t="shared" si="29"/>
        <v>0.7076098372990024</v>
      </c>
      <c r="T45">
        <v>150</v>
      </c>
      <c r="U45" s="44">
        <f t="shared" si="30"/>
        <v>211.98122481247685</v>
      </c>
      <c r="V45">
        <v>41.5</v>
      </c>
      <c r="W45" s="77">
        <f t="shared" si="31"/>
        <v>142.77305116454698</v>
      </c>
      <c r="X45">
        <v>2.15</v>
      </c>
      <c r="Y45" s="47">
        <f t="shared" si="32"/>
        <v>12.893022248160333</v>
      </c>
      <c r="Z45" s="47">
        <f t="shared" si="33"/>
        <v>53.311147807509471</v>
      </c>
    </row>
    <row r="46" spans="1:26" ht="15" customHeight="1" thickBot="1">
      <c r="A46">
        <v>19.5</v>
      </c>
      <c r="B46" t="s">
        <v>165</v>
      </c>
      <c r="C46">
        <v>0.05</v>
      </c>
      <c r="D46">
        <v>60</v>
      </c>
      <c r="E46" s="37">
        <f t="shared" si="17"/>
        <v>19.571428571428573</v>
      </c>
      <c r="F46">
        <v>30</v>
      </c>
      <c r="G46" s="71">
        <f t="shared" si="18"/>
        <v>1.4285714285714286</v>
      </c>
      <c r="H46" s="39">
        <f t="shared" si="19"/>
        <v>60</v>
      </c>
      <c r="I46">
        <v>60</v>
      </c>
      <c r="J46" s="71">
        <f t="shared" si="20"/>
        <v>7.1428571428571438E-2</v>
      </c>
      <c r="K46" s="71">
        <f t="shared" si="21"/>
        <v>19.642857142857142</v>
      </c>
      <c r="L46" s="72">
        <f t="shared" si="22"/>
        <v>44.299455405427231</v>
      </c>
      <c r="M46" s="73">
        <f t="shared" si="23"/>
        <v>0.97584054363284856</v>
      </c>
      <c r="N46" s="73">
        <f t="shared" si="24"/>
        <v>0.71569938129783928</v>
      </c>
      <c r="O46" s="74">
        <f t="shared" si="25"/>
        <v>28.430061870216068</v>
      </c>
      <c r="P46" s="75">
        <f t="shared" si="26"/>
        <v>1.3972346855835112</v>
      </c>
      <c r="Q46" s="37">
        <f t="shared" si="27"/>
        <v>6.9861734279175566E-2</v>
      </c>
      <c r="R46" s="43">
        <f t="shared" si="28"/>
        <v>19.639723468558351</v>
      </c>
      <c r="S46" s="76">
        <f t="shared" si="29"/>
        <v>0.69840847332337685</v>
      </c>
      <c r="T46">
        <v>150</v>
      </c>
      <c r="U46" s="44">
        <f t="shared" si="30"/>
        <v>214.77402656102521</v>
      </c>
      <c r="V46">
        <v>41.5</v>
      </c>
      <c r="W46" s="77">
        <f t="shared" si="31"/>
        <v>143.39434934198096</v>
      </c>
      <c r="X46">
        <v>2.15</v>
      </c>
      <c r="Y46" s="47">
        <f t="shared" si="32"/>
        <v>12.896283926047099</v>
      </c>
      <c r="Z46" s="47">
        <f t="shared" si="33"/>
        <v>53.324634466306385</v>
      </c>
    </row>
    <row r="47" spans="1:26" ht="15" customHeight="1" thickBot="1">
      <c r="A47">
        <v>20</v>
      </c>
      <c r="B47" t="s">
        <v>165</v>
      </c>
      <c r="C47">
        <v>0.05</v>
      </c>
      <c r="D47">
        <v>60</v>
      </c>
      <c r="E47" s="37">
        <f t="shared" si="17"/>
        <v>20.071428571428573</v>
      </c>
      <c r="F47">
        <v>30</v>
      </c>
      <c r="G47" s="71">
        <f t="shared" si="18"/>
        <v>1.4285714285714286</v>
      </c>
      <c r="H47" s="39">
        <f t="shared" si="19"/>
        <v>60</v>
      </c>
      <c r="I47">
        <v>60</v>
      </c>
      <c r="J47" s="71">
        <f t="shared" si="20"/>
        <v>7.1428571428571438E-2</v>
      </c>
      <c r="K47" s="71">
        <f t="shared" si="21"/>
        <v>20.142857142857142</v>
      </c>
      <c r="L47" s="72">
        <f t="shared" si="22"/>
        <v>43.577282947237173</v>
      </c>
      <c r="M47" s="73">
        <f t="shared" si="23"/>
        <v>0.95153134859573119</v>
      </c>
      <c r="N47" s="73">
        <f t="shared" si="24"/>
        <v>0.7244452388900694</v>
      </c>
      <c r="O47" s="74">
        <f t="shared" si="25"/>
        <v>27.555476110993059</v>
      </c>
      <c r="P47" s="75">
        <f t="shared" si="26"/>
        <v>1.3803665844116955</v>
      </c>
      <c r="Q47" s="37">
        <f t="shared" si="27"/>
        <v>6.9018329220584776E-2</v>
      </c>
      <c r="R47" s="43">
        <f t="shared" si="28"/>
        <v>20.13803665844117</v>
      </c>
      <c r="S47" s="76">
        <f t="shared" si="29"/>
        <v>0.68933235514482438</v>
      </c>
      <c r="T47">
        <v>150</v>
      </c>
      <c r="U47" s="44">
        <f t="shared" si="30"/>
        <v>217.60185617355208</v>
      </c>
      <c r="V47">
        <v>41.5</v>
      </c>
      <c r="W47" s="77">
        <f t="shared" si="31"/>
        <v>144.02070910359765</v>
      </c>
      <c r="X47">
        <v>2.15</v>
      </c>
      <c r="Y47" s="47">
        <f t="shared" si="32"/>
        <v>12.907826428891466</v>
      </c>
      <c r="Z47" s="47">
        <f t="shared" si="33"/>
        <v>53.372361373416346</v>
      </c>
    </row>
    <row r="48" spans="1:26" ht="15" customHeight="1" thickBot="1">
      <c r="A48">
        <v>20.5</v>
      </c>
      <c r="B48" t="s">
        <v>165</v>
      </c>
      <c r="C48">
        <v>0.05</v>
      </c>
      <c r="D48">
        <v>65</v>
      </c>
      <c r="E48" s="37">
        <f t="shared" si="17"/>
        <v>20.571428571428573</v>
      </c>
      <c r="F48">
        <v>30</v>
      </c>
      <c r="G48" s="71">
        <f t="shared" si="18"/>
        <v>1.4285714285714286</v>
      </c>
      <c r="H48" s="39">
        <f t="shared" si="19"/>
        <v>65</v>
      </c>
      <c r="I48">
        <v>65</v>
      </c>
      <c r="J48" s="71">
        <f t="shared" si="20"/>
        <v>7.1428571428571438E-2</v>
      </c>
      <c r="K48" s="71">
        <f t="shared" si="21"/>
        <v>20.642857142857142</v>
      </c>
      <c r="L48" s="72">
        <f t="shared" si="22"/>
        <v>45.164846997070505</v>
      </c>
      <c r="M48" s="73">
        <f t="shared" si="23"/>
        <v>1.0057708380845505</v>
      </c>
      <c r="N48" s="73">
        <f t="shared" si="24"/>
        <v>0.70506943378857334</v>
      </c>
      <c r="O48" s="74">
        <f t="shared" si="25"/>
        <v>29.493056621142667</v>
      </c>
      <c r="P48" s="75">
        <f t="shared" si="26"/>
        <v>1.4183000312843892</v>
      </c>
      <c r="Q48" s="37">
        <f t="shared" si="27"/>
        <v>7.0915001564219468E-2</v>
      </c>
      <c r="R48" s="43">
        <f t="shared" si="28"/>
        <v>20.64183000312844</v>
      </c>
      <c r="S48" s="76">
        <f t="shared" si="29"/>
        <v>0.70913827532933282</v>
      </c>
      <c r="T48">
        <v>150</v>
      </c>
      <c r="U48" s="44">
        <f t="shared" si="30"/>
        <v>211.5243320216189</v>
      </c>
      <c r="V48">
        <v>41.5</v>
      </c>
      <c r="W48" s="77">
        <f t="shared" si="31"/>
        <v>142.67115139328956</v>
      </c>
      <c r="X48">
        <v>2.15</v>
      </c>
      <c r="Y48" s="47">
        <f t="shared" si="32"/>
        <v>13.967798040494561</v>
      </c>
      <c r="Z48" s="47">
        <f t="shared" si="33"/>
        <v>57.755220734882165</v>
      </c>
    </row>
    <row r="49" spans="1:26" ht="15" customHeight="1" thickBot="1">
      <c r="A49">
        <v>21</v>
      </c>
      <c r="B49" t="s">
        <v>165</v>
      </c>
      <c r="C49">
        <v>0.05</v>
      </c>
      <c r="D49">
        <v>65</v>
      </c>
      <c r="E49" s="37">
        <f t="shared" si="17"/>
        <v>21.071428571428573</v>
      </c>
      <c r="F49">
        <v>30</v>
      </c>
      <c r="G49" s="71">
        <f t="shared" si="18"/>
        <v>1.4285714285714286</v>
      </c>
      <c r="H49" s="39">
        <f t="shared" si="19"/>
        <v>65</v>
      </c>
      <c r="I49">
        <v>65</v>
      </c>
      <c r="J49" s="71">
        <f t="shared" si="20"/>
        <v>7.1428571428571438E-2</v>
      </c>
      <c r="K49" s="71">
        <f t="shared" si="21"/>
        <v>21.142857142857142</v>
      </c>
      <c r="L49" s="72">
        <f t="shared" si="22"/>
        <v>44.476901439518201</v>
      </c>
      <c r="M49" s="73">
        <f t="shared" si="23"/>
        <v>0.98190508938423915</v>
      </c>
      <c r="N49" s="73">
        <f t="shared" si="24"/>
        <v>0.71353296918207632</v>
      </c>
      <c r="O49" s="74">
        <f t="shared" si="25"/>
        <v>28.646703081792367</v>
      </c>
      <c r="P49" s="75">
        <f t="shared" si="26"/>
        <v>1.4014769368629192</v>
      </c>
      <c r="Q49" s="37">
        <f t="shared" si="27"/>
        <v>7.0073846843145965E-2</v>
      </c>
      <c r="R49" s="43">
        <f t="shared" si="28"/>
        <v>21.140147693686291</v>
      </c>
      <c r="S49" s="76">
        <f t="shared" si="29"/>
        <v>0.7006216538833282</v>
      </c>
      <c r="T49">
        <v>150</v>
      </c>
      <c r="U49" s="44">
        <f t="shared" si="30"/>
        <v>214.09558092958815</v>
      </c>
      <c r="V49">
        <v>41.5</v>
      </c>
      <c r="W49" s="77">
        <f t="shared" si="31"/>
        <v>143.24366733691369</v>
      </c>
      <c r="X49">
        <v>2.15</v>
      </c>
      <c r="Y49" s="47">
        <f t="shared" si="32"/>
        <v>13.969346202245491</v>
      </c>
      <c r="Z49" s="47">
        <f t="shared" si="33"/>
        <v>57.761622203703453</v>
      </c>
    </row>
    <row r="50" spans="1:26" ht="15" customHeight="1" thickBot="1">
      <c r="A50">
        <v>21.5</v>
      </c>
      <c r="B50" t="s">
        <v>165</v>
      </c>
      <c r="C50">
        <v>0.05</v>
      </c>
      <c r="D50">
        <v>65</v>
      </c>
      <c r="E50" s="37">
        <f t="shared" si="17"/>
        <v>21.571428571428573</v>
      </c>
      <c r="F50">
        <v>30</v>
      </c>
      <c r="G50" s="71">
        <f t="shared" si="18"/>
        <v>1.4285714285714286</v>
      </c>
      <c r="H50" s="39">
        <f t="shared" si="19"/>
        <v>65</v>
      </c>
      <c r="I50">
        <v>65</v>
      </c>
      <c r="J50" s="71">
        <f t="shared" si="20"/>
        <v>7.1428571428571438E-2</v>
      </c>
      <c r="K50" s="71">
        <f t="shared" si="21"/>
        <v>21.642857142857142</v>
      </c>
      <c r="L50" s="72">
        <f t="shared" si="22"/>
        <v>43.805378131042929</v>
      </c>
      <c r="M50" s="73">
        <f t="shared" si="23"/>
        <v>0.95914569989520049</v>
      </c>
      <c r="N50" s="73">
        <f t="shared" si="24"/>
        <v>0.72169526517003513</v>
      </c>
      <c r="O50" s="74">
        <f t="shared" si="25"/>
        <v>27.830473482996489</v>
      </c>
      <c r="P50" s="75">
        <f t="shared" si="26"/>
        <v>1.3856263831305515</v>
      </c>
      <c r="Q50" s="37">
        <f t="shared" si="27"/>
        <v>6.9281319156527577E-2</v>
      </c>
      <c r="R50" s="43">
        <f t="shared" si="28"/>
        <v>21.638562638313054</v>
      </c>
      <c r="S50" s="76">
        <f t="shared" si="29"/>
        <v>0.69221091022256553</v>
      </c>
      <c r="T50">
        <v>150</v>
      </c>
      <c r="U50" s="44">
        <f t="shared" si="30"/>
        <v>216.6969601097023</v>
      </c>
      <c r="V50">
        <v>41.5</v>
      </c>
      <c r="W50" s="77">
        <f t="shared" si="31"/>
        <v>143.82057285764779</v>
      </c>
      <c r="X50">
        <v>2.15</v>
      </c>
      <c r="Y50" s="47">
        <f t="shared" si="32"/>
        <v>13.978677165728268</v>
      </c>
      <c r="Z50" s="47">
        <f t="shared" si="33"/>
        <v>57.800204652708985</v>
      </c>
    </row>
    <row r="51" spans="1:26" ht="15" customHeight="1" thickBot="1">
      <c r="A51">
        <v>22</v>
      </c>
      <c r="B51" t="s">
        <v>165</v>
      </c>
      <c r="C51">
        <v>0.05</v>
      </c>
      <c r="D51">
        <v>70</v>
      </c>
      <c r="E51" s="37">
        <f t="shared" si="17"/>
        <v>22.071428571428573</v>
      </c>
      <c r="F51">
        <v>30</v>
      </c>
      <c r="G51" s="71">
        <f t="shared" si="18"/>
        <v>1.4285714285714286</v>
      </c>
      <c r="H51" s="39">
        <f t="shared" si="19"/>
        <v>70</v>
      </c>
      <c r="I51">
        <v>70</v>
      </c>
      <c r="J51" s="71">
        <f t="shared" si="20"/>
        <v>7.1428571428571438E-2</v>
      </c>
      <c r="K51" s="71">
        <f t="shared" si="21"/>
        <v>22.142857142857142</v>
      </c>
      <c r="L51" s="72">
        <f t="shared" si="22"/>
        <v>45.271619548727088</v>
      </c>
      <c r="M51" s="73">
        <f t="shared" si="23"/>
        <v>1.0095265170915877</v>
      </c>
      <c r="N51" s="73">
        <f t="shared" si="24"/>
        <v>0.70374670803236694</v>
      </c>
      <c r="O51" s="74">
        <f t="shared" si="25"/>
        <v>29.625329196763307</v>
      </c>
      <c r="P51" s="75">
        <f t="shared" si="26"/>
        <v>1.4209657943494176</v>
      </c>
      <c r="Q51" s="37">
        <f t="shared" si="27"/>
        <v>7.1048289717470889E-2</v>
      </c>
      <c r="R51" s="43">
        <f t="shared" si="28"/>
        <v>22.142096579434941</v>
      </c>
      <c r="S51" s="76">
        <f t="shared" si="29"/>
        <v>0.71045096307458577</v>
      </c>
      <c r="T51">
        <v>150</v>
      </c>
      <c r="U51" s="44">
        <f t="shared" si="30"/>
        <v>211.13350223476641</v>
      </c>
      <c r="V51">
        <v>41.5</v>
      </c>
      <c r="W51" s="77">
        <f t="shared" si="31"/>
        <v>142.58392771441132</v>
      </c>
      <c r="X51">
        <v>2.15</v>
      </c>
      <c r="Y51" s="47">
        <f t="shared" si="32"/>
        <v>15.042787502780467</v>
      </c>
      <c r="Z51" s="47">
        <f t="shared" si="33"/>
        <v>62.200177162659706</v>
      </c>
    </row>
    <row r="52" spans="1:26" ht="15" customHeight="1" thickBot="1">
      <c r="A52">
        <v>22.5</v>
      </c>
      <c r="B52" t="s">
        <v>165</v>
      </c>
      <c r="C52">
        <v>0.05</v>
      </c>
      <c r="D52">
        <v>70</v>
      </c>
      <c r="E52" s="37">
        <f t="shared" si="17"/>
        <v>22.571428571428573</v>
      </c>
      <c r="F52">
        <v>30</v>
      </c>
      <c r="G52" s="71">
        <f t="shared" si="18"/>
        <v>1.4285714285714286</v>
      </c>
      <c r="H52" s="39">
        <f t="shared" si="19"/>
        <v>70</v>
      </c>
      <c r="I52">
        <v>70</v>
      </c>
      <c r="J52" s="71">
        <f t="shared" si="20"/>
        <v>7.1428571428571438E-2</v>
      </c>
      <c r="K52" s="71">
        <f t="shared" si="21"/>
        <v>22.642857142857142</v>
      </c>
      <c r="L52" s="72">
        <f t="shared" si="22"/>
        <v>44.629894338506539</v>
      </c>
      <c r="M52" s="73">
        <f t="shared" si="23"/>
        <v>0.98716358791550807</v>
      </c>
      <c r="N52" s="73">
        <f t="shared" si="24"/>
        <v>0.71165960681593821</v>
      </c>
      <c r="O52" s="74">
        <f t="shared" si="25"/>
        <v>28.834039318406184</v>
      </c>
      <c r="P52" s="75">
        <f t="shared" si="26"/>
        <v>1.4051661643044995</v>
      </c>
      <c r="Q52" s="37">
        <f t="shared" si="27"/>
        <v>7.0258308215224982E-2</v>
      </c>
      <c r="R52" s="43">
        <f t="shared" si="28"/>
        <v>22.64051661643045</v>
      </c>
      <c r="S52" s="76">
        <f t="shared" si="29"/>
        <v>0.70252445083896131</v>
      </c>
      <c r="T52">
        <v>150</v>
      </c>
      <c r="U52" s="44">
        <f t="shared" si="30"/>
        <v>213.51570015943017</v>
      </c>
      <c r="V52">
        <v>41.5</v>
      </c>
      <c r="W52" s="77">
        <f t="shared" si="31"/>
        <v>143.11475072510461</v>
      </c>
      <c r="X52">
        <v>2.15</v>
      </c>
      <c r="Y52" s="47">
        <f t="shared" si="32"/>
        <v>15.042845986290983</v>
      </c>
      <c r="Z52" s="47">
        <f t="shared" si="33"/>
        <v>62.200418985175276</v>
      </c>
    </row>
    <row r="53" spans="1:26" ht="15" customHeight="1" thickBot="1">
      <c r="A53">
        <v>23</v>
      </c>
      <c r="B53" t="s">
        <v>165</v>
      </c>
      <c r="C53">
        <v>0.05</v>
      </c>
      <c r="D53">
        <v>70</v>
      </c>
      <c r="E53" s="37">
        <f t="shared" si="17"/>
        <v>23.071428571428573</v>
      </c>
      <c r="F53">
        <v>30</v>
      </c>
      <c r="G53" s="71">
        <f t="shared" si="18"/>
        <v>1.4285714285714286</v>
      </c>
      <c r="H53" s="39">
        <f t="shared" si="19"/>
        <v>70</v>
      </c>
      <c r="I53">
        <v>70</v>
      </c>
      <c r="J53" s="71">
        <f t="shared" si="20"/>
        <v>7.1428571428571438E-2</v>
      </c>
      <c r="K53" s="71">
        <f t="shared" si="21"/>
        <v>23.142857142857142</v>
      </c>
      <c r="L53" s="72">
        <f t="shared" si="22"/>
        <v>44.002407303363398</v>
      </c>
      <c r="M53" s="73">
        <f t="shared" si="23"/>
        <v>0.96576994978730824</v>
      </c>
      <c r="N53" s="73">
        <f t="shared" si="24"/>
        <v>0.71931062247615696</v>
      </c>
      <c r="O53" s="74">
        <f t="shared" si="25"/>
        <v>28.068937752384304</v>
      </c>
      <c r="P53" s="75">
        <f t="shared" si="26"/>
        <v>1.3902199811224767</v>
      </c>
      <c r="Q53" s="37">
        <f t="shared" si="27"/>
        <v>6.9510999056123832E-2</v>
      </c>
      <c r="R53" s="43">
        <f t="shared" si="28"/>
        <v>23.139021998112248</v>
      </c>
      <c r="S53" s="76">
        <f t="shared" si="29"/>
        <v>0.69468858375027553</v>
      </c>
      <c r="T53">
        <v>150</v>
      </c>
      <c r="U53" s="44">
        <f t="shared" si="30"/>
        <v>215.92408959742102</v>
      </c>
      <c r="V53">
        <v>41.5</v>
      </c>
      <c r="W53" s="77">
        <f t="shared" si="31"/>
        <v>143.64941597967902</v>
      </c>
      <c r="X53">
        <v>2.15</v>
      </c>
      <c r="Y53" s="47">
        <f t="shared" si="32"/>
        <v>15.050244439787022</v>
      </c>
      <c r="Z53" s="47">
        <f t="shared" si="33"/>
        <v>62.231010730096116</v>
      </c>
    </row>
    <row r="54" spans="1:26" ht="15" customHeight="1" thickBot="1">
      <c r="A54">
        <v>23.5</v>
      </c>
      <c r="B54" t="s">
        <v>165</v>
      </c>
      <c r="C54">
        <v>0.05</v>
      </c>
      <c r="D54">
        <v>70</v>
      </c>
      <c r="E54" s="37">
        <f t="shared" si="17"/>
        <v>23.571428571428573</v>
      </c>
      <c r="F54">
        <v>30</v>
      </c>
      <c r="G54" s="71">
        <f t="shared" si="18"/>
        <v>1.4285714285714286</v>
      </c>
      <c r="H54" s="39">
        <f t="shared" si="19"/>
        <v>70</v>
      </c>
      <c r="I54">
        <v>70</v>
      </c>
      <c r="J54" s="71">
        <f t="shared" si="20"/>
        <v>7.1428571428571438E-2</v>
      </c>
      <c r="K54" s="71">
        <f t="shared" si="21"/>
        <v>23.642857142857142</v>
      </c>
      <c r="L54" s="72">
        <f t="shared" si="22"/>
        <v>43.388835387071438</v>
      </c>
      <c r="M54" s="73">
        <f t="shared" si="23"/>
        <v>0.9452839205493957</v>
      </c>
      <c r="N54" s="73">
        <f t="shared" si="24"/>
        <v>0.72670855141056223</v>
      </c>
      <c r="O54" s="74">
        <f t="shared" si="25"/>
        <v>27.329144858943771</v>
      </c>
      <c r="P54" s="75">
        <f t="shared" si="26"/>
        <v>1.3760674730729001</v>
      </c>
      <c r="Q54" s="37">
        <f t="shared" si="27"/>
        <v>6.8803373653645014E-2</v>
      </c>
      <c r="R54" s="43">
        <f t="shared" si="28"/>
        <v>23.637606747307291</v>
      </c>
      <c r="S54" s="76">
        <f t="shared" si="29"/>
        <v>0.68694590857414839</v>
      </c>
      <c r="T54">
        <v>150</v>
      </c>
      <c r="U54" s="44">
        <f t="shared" si="30"/>
        <v>218.3578039082376</v>
      </c>
      <c r="V54">
        <v>41.5</v>
      </c>
      <c r="W54" s="77">
        <f t="shared" si="31"/>
        <v>144.18768941557303</v>
      </c>
      <c r="X54">
        <v>2.15</v>
      </c>
      <c r="Y54" s="47">
        <f t="shared" si="32"/>
        <v>15.064513265010332</v>
      </c>
      <c r="Z54" s="47">
        <f t="shared" si="33"/>
        <v>62.290010663228777</v>
      </c>
    </row>
    <row r="55" spans="1:26" ht="15" customHeight="1" thickBot="1">
      <c r="A55">
        <v>24</v>
      </c>
      <c r="B55" t="s">
        <v>165</v>
      </c>
      <c r="C55">
        <v>0.05</v>
      </c>
      <c r="D55">
        <v>75</v>
      </c>
      <c r="E55" s="37">
        <f t="shared" si="17"/>
        <v>24.071428571428573</v>
      </c>
      <c r="F55">
        <v>30</v>
      </c>
      <c r="G55" s="71">
        <f t="shared" si="18"/>
        <v>1.4285714285714286</v>
      </c>
      <c r="H55" s="39">
        <f t="shared" si="19"/>
        <v>75</v>
      </c>
      <c r="I55">
        <v>75</v>
      </c>
      <c r="J55" s="71">
        <f t="shared" si="20"/>
        <v>7.1428571428571438E-2</v>
      </c>
      <c r="K55" s="71">
        <f t="shared" si="21"/>
        <v>24.142857142857142</v>
      </c>
      <c r="L55" s="72">
        <f t="shared" si="22"/>
        <v>44.763161158489311</v>
      </c>
      <c r="M55" s="73">
        <f t="shared" si="23"/>
        <v>0.99176672461201965</v>
      </c>
      <c r="N55" s="73">
        <f t="shared" si="24"/>
        <v>0.71002365018410729</v>
      </c>
      <c r="O55" s="74">
        <f t="shared" si="25"/>
        <v>28.997634981589272</v>
      </c>
      <c r="P55" s="75">
        <f t="shared" si="26"/>
        <v>1.408403790128262</v>
      </c>
      <c r="Q55" s="37">
        <f t="shared" si="27"/>
        <v>7.04201895064131E-2</v>
      </c>
      <c r="R55" s="43">
        <f t="shared" si="28"/>
        <v>24.140840379012825</v>
      </c>
      <c r="S55" s="76">
        <f t="shared" si="29"/>
        <v>0.70417782994016254</v>
      </c>
      <c r="T55">
        <v>150</v>
      </c>
      <c r="U55" s="44">
        <f t="shared" si="30"/>
        <v>213.01437452631282</v>
      </c>
      <c r="V55">
        <v>41.5</v>
      </c>
      <c r="W55" s="77">
        <f t="shared" si="31"/>
        <v>143.00320448689496</v>
      </c>
      <c r="X55">
        <v>2.15</v>
      </c>
      <c r="Y55" s="47">
        <f t="shared" si="32"/>
        <v>16.116701199292823</v>
      </c>
      <c r="Z55" s="47">
        <f t="shared" si="33"/>
        <v>66.640685424052663</v>
      </c>
    </row>
    <row r="56" spans="1:26" ht="15" customHeight="1" thickBot="1">
      <c r="A56">
        <v>24.5</v>
      </c>
      <c r="B56" t="s">
        <v>165</v>
      </c>
      <c r="C56">
        <v>0.05</v>
      </c>
      <c r="D56">
        <v>75</v>
      </c>
      <c r="E56" s="37">
        <f t="shared" si="17"/>
        <v>24.571428571428573</v>
      </c>
      <c r="F56">
        <v>30</v>
      </c>
      <c r="G56" s="71">
        <f t="shared" si="18"/>
        <v>1.4285714285714286</v>
      </c>
      <c r="H56" s="39">
        <f t="shared" si="19"/>
        <v>75</v>
      </c>
      <c r="I56">
        <v>75</v>
      </c>
      <c r="J56" s="71">
        <f t="shared" si="20"/>
        <v>7.1428571428571438E-2</v>
      </c>
      <c r="K56" s="71">
        <f t="shared" si="21"/>
        <v>24.642857142857142</v>
      </c>
      <c r="L56" s="72">
        <f t="shared" si="22"/>
        <v>44.174308647865367</v>
      </c>
      <c r="M56" s="73">
        <f t="shared" si="23"/>
        <v>0.97158542498328671</v>
      </c>
      <c r="N56" s="73">
        <f t="shared" si="24"/>
        <v>0.71722315264779168</v>
      </c>
      <c r="O56" s="74">
        <f t="shared" si="25"/>
        <v>28.277684735220838</v>
      </c>
      <c r="P56" s="75">
        <f t="shared" si="26"/>
        <v>1.3942662005657147</v>
      </c>
      <c r="Q56" s="37">
        <f t="shared" si="27"/>
        <v>6.9713310028285735E-2</v>
      </c>
      <c r="R56" s="43">
        <f t="shared" si="28"/>
        <v>24.639426620056572</v>
      </c>
      <c r="S56" s="76">
        <f t="shared" si="29"/>
        <v>0.69684356157315719</v>
      </c>
      <c r="T56">
        <v>150</v>
      </c>
      <c r="U56" s="44">
        <f t="shared" si="30"/>
        <v>215.25634772511629</v>
      </c>
      <c r="V56">
        <v>41.5</v>
      </c>
      <c r="W56" s="77">
        <f t="shared" si="31"/>
        <v>143.50137610038112</v>
      </c>
      <c r="X56">
        <v>2.15</v>
      </c>
      <c r="Y56" s="47">
        <f t="shared" si="32"/>
        <v>16.122396595881238</v>
      </c>
      <c r="Z56" s="47">
        <f t="shared" si="33"/>
        <v>66.664235226690337</v>
      </c>
    </row>
    <row r="57" spans="1:26" ht="15" customHeight="1" thickBot="1">
      <c r="A57">
        <v>25</v>
      </c>
      <c r="B57" t="s">
        <v>165</v>
      </c>
      <c r="C57">
        <v>0.05</v>
      </c>
      <c r="D57">
        <v>75</v>
      </c>
      <c r="E57" s="37">
        <f t="shared" si="17"/>
        <v>25.071428571428573</v>
      </c>
      <c r="F57">
        <v>30</v>
      </c>
      <c r="G57" s="71">
        <f t="shared" si="18"/>
        <v>1.4285714285714286</v>
      </c>
      <c r="H57" s="39">
        <f t="shared" si="19"/>
        <v>75</v>
      </c>
      <c r="I57">
        <v>75</v>
      </c>
      <c r="J57" s="71">
        <f t="shared" si="20"/>
        <v>7.1428571428571438E-2</v>
      </c>
      <c r="K57" s="71">
        <f t="shared" si="21"/>
        <v>25.142857142857142</v>
      </c>
      <c r="L57" s="72">
        <f t="shared" si="22"/>
        <v>43.59765537464849</v>
      </c>
      <c r="M57" s="73">
        <f t="shared" si="23"/>
        <v>0.95220907747649752</v>
      </c>
      <c r="N57" s="73">
        <f t="shared" si="24"/>
        <v>0.72420009000130015</v>
      </c>
      <c r="O57" s="74">
        <f t="shared" si="25"/>
        <v>27.579990999869985</v>
      </c>
      <c r="P57" s="75">
        <f t="shared" si="26"/>
        <v>1.3808338521446533</v>
      </c>
      <c r="Q57" s="37">
        <f t="shared" si="27"/>
        <v>6.9041692607232669E-2</v>
      </c>
      <c r="R57" s="43">
        <f t="shared" si="28"/>
        <v>25.138083385214465</v>
      </c>
      <c r="S57" s="76">
        <f t="shared" si="29"/>
        <v>0.68958989960853456</v>
      </c>
      <c r="T57">
        <v>150</v>
      </c>
      <c r="U57" s="44">
        <f t="shared" si="30"/>
        <v>217.52058735946073</v>
      </c>
      <c r="V57">
        <v>41.5</v>
      </c>
      <c r="W57" s="77">
        <f t="shared" si="31"/>
        <v>144.00274621416807</v>
      </c>
      <c r="X57">
        <v>2.15</v>
      </c>
      <c r="Y57" s="47">
        <f t="shared" si="32"/>
        <v>16.13461831372738</v>
      </c>
      <c r="Z57" s="47">
        <f t="shared" si="33"/>
        <v>66.714770608854153</v>
      </c>
    </row>
    <row r="58" spans="1:26" ht="15" customHeight="1" thickBot="1">
      <c r="A58">
        <v>25.5</v>
      </c>
      <c r="B58" t="s">
        <v>165</v>
      </c>
      <c r="C58">
        <v>0.05</v>
      </c>
      <c r="D58">
        <v>80</v>
      </c>
      <c r="E58" s="37">
        <f t="shared" si="17"/>
        <v>25.571428571428573</v>
      </c>
      <c r="F58">
        <v>30</v>
      </c>
      <c r="G58" s="71">
        <f t="shared" si="18"/>
        <v>1.4285714285714286</v>
      </c>
      <c r="H58" s="39">
        <f t="shared" si="19"/>
        <v>80</v>
      </c>
      <c r="I58">
        <v>80</v>
      </c>
      <c r="J58" s="71">
        <f t="shared" si="20"/>
        <v>7.1428571428571438E-2</v>
      </c>
      <c r="K58" s="71">
        <f t="shared" si="21"/>
        <v>25.642857142857142</v>
      </c>
      <c r="L58" s="72">
        <f t="shared" si="22"/>
        <v>44.880284708122772</v>
      </c>
      <c r="M58" s="73">
        <f t="shared" si="23"/>
        <v>0.99582982851173374</v>
      </c>
      <c r="N58" s="73">
        <f t="shared" si="24"/>
        <v>0.70858269333136592</v>
      </c>
      <c r="O58" s="74">
        <f t="shared" si="25"/>
        <v>29.14173066686341</v>
      </c>
      <c r="P58" s="75">
        <f t="shared" si="26"/>
        <v>1.4112678864601538</v>
      </c>
      <c r="Q58" s="37">
        <f t="shared" si="27"/>
        <v>7.0563394323007692E-2</v>
      </c>
      <c r="R58" s="43">
        <f t="shared" si="28"/>
        <v>25.641126788646016</v>
      </c>
      <c r="S58" s="76">
        <f t="shared" si="29"/>
        <v>0.70562778198655651</v>
      </c>
      <c r="T58">
        <v>150</v>
      </c>
      <c r="U58" s="44">
        <f t="shared" si="30"/>
        <v>212.57666411277691</v>
      </c>
      <c r="V58">
        <v>41.5</v>
      </c>
      <c r="W58" s="77">
        <f t="shared" si="31"/>
        <v>142.90574160145752</v>
      </c>
      <c r="X58">
        <v>2.15</v>
      </c>
      <c r="Y58" s="47">
        <f t="shared" si="32"/>
        <v>17.190849082836952</v>
      </c>
      <c r="Z58" s="47">
        <f t="shared" si="33"/>
        <v>71.082162021590932</v>
      </c>
    </row>
    <row r="59" spans="1:26" ht="15" customHeight="1" thickBot="1">
      <c r="A59">
        <v>26</v>
      </c>
      <c r="B59" t="s">
        <v>165</v>
      </c>
      <c r="C59">
        <v>0.05</v>
      </c>
      <c r="D59">
        <v>80</v>
      </c>
      <c r="E59" s="37">
        <f t="shared" si="17"/>
        <v>26.071428571428573</v>
      </c>
      <c r="F59">
        <v>30</v>
      </c>
      <c r="G59" s="71">
        <f t="shared" si="18"/>
        <v>1.4285714285714286</v>
      </c>
      <c r="H59" s="39">
        <f t="shared" si="19"/>
        <v>80</v>
      </c>
      <c r="I59">
        <v>80</v>
      </c>
      <c r="J59" s="71">
        <f t="shared" si="20"/>
        <v>7.1428571428571438E-2</v>
      </c>
      <c r="K59" s="71">
        <f t="shared" si="21"/>
        <v>26.142857142857142</v>
      </c>
      <c r="L59" s="72">
        <f t="shared" si="22"/>
        <v>44.325598392971074</v>
      </c>
      <c r="M59" s="73">
        <f t="shared" si="23"/>
        <v>0.97673172221150861</v>
      </c>
      <c r="N59" s="73">
        <f t="shared" si="24"/>
        <v>0.71538063615015257</v>
      </c>
      <c r="O59" s="74">
        <f t="shared" si="25"/>
        <v>28.461936384984742</v>
      </c>
      <c r="P59" s="75">
        <f t="shared" si="26"/>
        <v>1.3978572377658096</v>
      </c>
      <c r="Q59" s="37">
        <f t="shared" si="27"/>
        <v>6.9892861888290483E-2</v>
      </c>
      <c r="R59" s="43">
        <f t="shared" si="28"/>
        <v>26.13978572377658</v>
      </c>
      <c r="S59" s="76">
        <f t="shared" si="29"/>
        <v>0.69873496078370301</v>
      </c>
      <c r="T59">
        <v>150</v>
      </c>
      <c r="U59" s="44">
        <f t="shared" si="30"/>
        <v>214.67367230596219</v>
      </c>
      <c r="V59">
        <v>41.5</v>
      </c>
      <c r="W59" s="77">
        <f t="shared" si="31"/>
        <v>143.37207075577746</v>
      </c>
      <c r="X59">
        <v>2.15</v>
      </c>
      <c r="Y59" s="47">
        <f t="shared" si="32"/>
        <v>17.195032366236923</v>
      </c>
      <c r="Z59" s="47">
        <f t="shared" si="33"/>
        <v>71.099459412021517</v>
      </c>
    </row>
    <row r="60" spans="1:26" ht="15" customHeight="1" thickBot="1">
      <c r="A60">
        <v>26.5</v>
      </c>
      <c r="B60" t="s">
        <v>165</v>
      </c>
      <c r="C60">
        <v>0.05</v>
      </c>
      <c r="D60">
        <v>80</v>
      </c>
      <c r="E60" s="37">
        <f t="shared" si="17"/>
        <v>26.571428571428573</v>
      </c>
      <c r="F60">
        <v>30</v>
      </c>
      <c r="G60" s="71">
        <f t="shared" si="18"/>
        <v>1.4285714285714286</v>
      </c>
      <c r="H60" s="39">
        <f t="shared" si="19"/>
        <v>80</v>
      </c>
      <c r="I60">
        <v>80</v>
      </c>
      <c r="J60" s="71">
        <f t="shared" si="20"/>
        <v>7.1428571428571438E-2</v>
      </c>
      <c r="K60" s="71">
        <f t="shared" si="21"/>
        <v>26.642857142857142</v>
      </c>
      <c r="L60" s="72">
        <f t="shared" si="22"/>
        <v>43.781693819460003</v>
      </c>
      <c r="M60" s="73">
        <f t="shared" si="23"/>
        <v>0.95835236184731354</v>
      </c>
      <c r="N60" s="73">
        <f t="shared" si="24"/>
        <v>0.72198134218027143</v>
      </c>
      <c r="O60" s="74">
        <f t="shared" si="25"/>
        <v>27.801865781972861</v>
      </c>
      <c r="P60" s="75">
        <f t="shared" si="26"/>
        <v>1.3850773442152335</v>
      </c>
      <c r="Q60" s="37">
        <f t="shared" si="27"/>
        <v>6.9253867210761683E-2</v>
      </c>
      <c r="R60" s="43">
        <f t="shared" si="28"/>
        <v>26.638507734421523</v>
      </c>
      <c r="S60" s="76">
        <f t="shared" si="29"/>
        <v>0.69191252448815654</v>
      </c>
      <c r="T60">
        <v>150</v>
      </c>
      <c r="U60" s="44">
        <f t="shared" si="30"/>
        <v>216.79041019088757</v>
      </c>
      <c r="V60">
        <v>41.5</v>
      </c>
      <c r="W60" s="77">
        <f t="shared" si="31"/>
        <v>143.84125414548029</v>
      </c>
      <c r="X60">
        <v>2.15</v>
      </c>
      <c r="Y60" s="47">
        <f t="shared" si="32"/>
        <v>17.205429638564219</v>
      </c>
      <c r="Z60" s="47">
        <f t="shared" si="33"/>
        <v>71.142450924109724</v>
      </c>
    </row>
    <row r="61" spans="1:26" ht="15" customHeight="1" thickBot="1">
      <c r="A61">
        <v>27</v>
      </c>
      <c r="B61" t="s">
        <v>165</v>
      </c>
      <c r="C61">
        <v>0.05</v>
      </c>
      <c r="D61">
        <v>80</v>
      </c>
      <c r="E61" s="37">
        <f t="shared" si="17"/>
        <v>27.071428571428573</v>
      </c>
      <c r="F61">
        <v>30</v>
      </c>
      <c r="G61" s="71">
        <f t="shared" si="18"/>
        <v>1.4285714285714286</v>
      </c>
      <c r="H61" s="39">
        <f t="shared" si="19"/>
        <v>80</v>
      </c>
      <c r="I61">
        <v>80</v>
      </c>
      <c r="J61" s="71">
        <f t="shared" si="20"/>
        <v>7.1428571428571438E-2</v>
      </c>
      <c r="K61" s="71">
        <f t="shared" si="21"/>
        <v>27.142857142857142</v>
      </c>
      <c r="L61" s="72">
        <f t="shared" si="22"/>
        <v>43.248354874878771</v>
      </c>
      <c r="M61" s="73">
        <f t="shared" si="23"/>
        <v>0.94065192244643969</v>
      </c>
      <c r="N61" s="73">
        <f t="shared" si="24"/>
        <v>0.72839065196066832</v>
      </c>
      <c r="O61" s="74">
        <f t="shared" si="25"/>
        <v>27.160934803933166</v>
      </c>
      <c r="P61" s="75">
        <f t="shared" si="26"/>
        <v>1.3728896675269222</v>
      </c>
      <c r="Q61" s="37">
        <f t="shared" si="27"/>
        <v>6.8644483376346113E-2</v>
      </c>
      <c r="R61" s="43">
        <f t="shared" si="28"/>
        <v>27.137288966752692</v>
      </c>
      <c r="S61" s="76">
        <f t="shared" si="29"/>
        <v>0.68516206705881821</v>
      </c>
      <c r="T61">
        <v>150</v>
      </c>
      <c r="U61" s="44">
        <f t="shared" si="30"/>
        <v>218.92630548550662</v>
      </c>
      <c r="V61">
        <v>41.5</v>
      </c>
      <c r="W61" s="77">
        <f t="shared" si="31"/>
        <v>144.31313770440403</v>
      </c>
      <c r="X61">
        <v>2.15</v>
      </c>
      <c r="Y61" s="47">
        <f t="shared" si="32"/>
        <v>17.221694998557222</v>
      </c>
      <c r="Z61" s="47">
        <f t="shared" si="33"/>
        <v>71.209706296359869</v>
      </c>
    </row>
    <row r="62" spans="1:26" ht="15" customHeight="1" thickBot="1">
      <c r="A62">
        <v>27.5</v>
      </c>
      <c r="B62" t="s">
        <v>165</v>
      </c>
      <c r="C62">
        <v>0.05</v>
      </c>
      <c r="D62">
        <v>80</v>
      </c>
      <c r="E62" s="37">
        <f t="shared" si="17"/>
        <v>27.571428571428573</v>
      </c>
      <c r="F62">
        <v>30</v>
      </c>
      <c r="G62" s="71">
        <f t="shared" si="18"/>
        <v>1.4285714285714286</v>
      </c>
      <c r="H62" s="39">
        <f t="shared" si="19"/>
        <v>80</v>
      </c>
      <c r="I62">
        <v>80</v>
      </c>
      <c r="J62" s="71">
        <f t="shared" si="20"/>
        <v>7.1428571428571438E-2</v>
      </c>
      <c r="K62" s="71">
        <f t="shared" si="21"/>
        <v>27.642857142857142</v>
      </c>
      <c r="L62" s="72">
        <f t="shared" si="22"/>
        <v>42.725366434244343</v>
      </c>
      <c r="M62" s="73">
        <f t="shared" si="23"/>
        <v>0.9235934678943023</v>
      </c>
      <c r="N62" s="73">
        <f t="shared" si="24"/>
        <v>0.73461429162903624</v>
      </c>
      <c r="O62" s="74">
        <f t="shared" si="25"/>
        <v>26.538570837096376</v>
      </c>
      <c r="P62" s="75">
        <f t="shared" si="26"/>
        <v>1.3612585698305166</v>
      </c>
      <c r="Q62" s="37">
        <f t="shared" si="27"/>
        <v>6.8062928491525829E-2</v>
      </c>
      <c r="R62" s="43">
        <f t="shared" si="28"/>
        <v>27.636125856983053</v>
      </c>
      <c r="S62" s="76">
        <f t="shared" si="29"/>
        <v>0.67848496117037793</v>
      </c>
      <c r="T62">
        <v>150</v>
      </c>
      <c r="U62" s="44">
        <f t="shared" si="30"/>
        <v>221.08080294256177</v>
      </c>
      <c r="V62">
        <v>41.5</v>
      </c>
      <c r="W62" s="77">
        <f t="shared" si="31"/>
        <v>144.78757296293651</v>
      </c>
      <c r="X62">
        <v>2.15</v>
      </c>
      <c r="Y62" s="47">
        <f t="shared" si="32"/>
        <v>17.243507788733758</v>
      </c>
      <c r="Z62" s="47">
        <f t="shared" si="33"/>
        <v>71.299899647368903</v>
      </c>
    </row>
    <row r="63" spans="1:26" ht="15" customHeight="1" thickBot="1">
      <c r="A63">
        <v>28</v>
      </c>
      <c r="B63" t="s">
        <v>165</v>
      </c>
      <c r="C63">
        <v>0.05</v>
      </c>
      <c r="D63">
        <v>80</v>
      </c>
      <c r="E63" s="37">
        <f t="shared" si="17"/>
        <v>28.071428571428573</v>
      </c>
      <c r="F63">
        <v>30</v>
      </c>
      <c r="G63" s="71">
        <f t="shared" si="18"/>
        <v>1.4285714285714286</v>
      </c>
      <c r="H63" s="39">
        <f t="shared" si="19"/>
        <v>80</v>
      </c>
      <c r="I63">
        <v>80</v>
      </c>
      <c r="J63" s="71">
        <f t="shared" si="20"/>
        <v>7.1428571428571438E-2</v>
      </c>
      <c r="K63" s="71">
        <f t="shared" si="21"/>
        <v>28.142857142857142</v>
      </c>
      <c r="L63" s="72">
        <f t="shared" si="22"/>
        <v>42.212514739515633</v>
      </c>
      <c r="M63" s="73">
        <f t="shared" si="23"/>
        <v>0.90714269365699918</v>
      </c>
      <c r="N63" s="73">
        <f t="shared" si="24"/>
        <v>0.74065786755898844</v>
      </c>
      <c r="O63" s="74">
        <f t="shared" si="25"/>
        <v>25.934213244101155</v>
      </c>
      <c r="P63" s="75">
        <f t="shared" si="26"/>
        <v>1.3501510532734018</v>
      </c>
      <c r="Q63" s="37">
        <f t="shared" si="27"/>
        <v>6.750755266367009E-2</v>
      </c>
      <c r="R63" s="43">
        <f t="shared" si="28"/>
        <v>28.135015105327341</v>
      </c>
      <c r="S63" s="76">
        <f t="shared" si="29"/>
        <v>0.67188237305570975</v>
      </c>
      <c r="T63">
        <v>150</v>
      </c>
      <c r="U63" s="44">
        <f t="shared" si="30"/>
        <v>223.25336400447972</v>
      </c>
      <c r="V63">
        <v>41.5</v>
      </c>
      <c r="W63" s="77">
        <f t="shared" si="31"/>
        <v>145.26441690836148</v>
      </c>
      <c r="X63">
        <v>2.15</v>
      </c>
      <c r="Y63" s="47">
        <f t="shared" si="32"/>
        <v>17.27057033038124</v>
      </c>
      <c r="Z63" s="47">
        <f t="shared" si="33"/>
        <v>71.411800110274072</v>
      </c>
    </row>
    <row r="64" spans="1:26" ht="15" customHeight="1" thickBot="1">
      <c r="A64">
        <v>28.5</v>
      </c>
      <c r="B64" t="s">
        <v>165</v>
      </c>
      <c r="C64">
        <v>0.05</v>
      </c>
      <c r="D64">
        <v>80</v>
      </c>
      <c r="E64" s="37">
        <f t="shared" si="17"/>
        <v>28.571428571428573</v>
      </c>
      <c r="F64">
        <v>30</v>
      </c>
      <c r="G64" s="71">
        <f t="shared" si="18"/>
        <v>1.4285714285714286</v>
      </c>
      <c r="H64" s="39">
        <f t="shared" si="19"/>
        <v>80</v>
      </c>
      <c r="I64">
        <v>80</v>
      </c>
      <c r="J64" s="71">
        <f t="shared" si="20"/>
        <v>7.1428571428571438E-2</v>
      </c>
      <c r="K64" s="71">
        <f t="shared" si="21"/>
        <v>28.642857142857142</v>
      </c>
      <c r="L64" s="72">
        <f t="shared" si="22"/>
        <v>41.709587738712059</v>
      </c>
      <c r="M64" s="73">
        <f t="shared" si="23"/>
        <v>0.89126769651800175</v>
      </c>
      <c r="N64" s="73">
        <f t="shared" si="24"/>
        <v>0.74652686203799323</v>
      </c>
      <c r="O64" s="74">
        <f t="shared" si="25"/>
        <v>25.347313796200677</v>
      </c>
      <c r="P64" s="75">
        <f t="shared" si="26"/>
        <v>1.3395365268840209</v>
      </c>
      <c r="Q64" s="37">
        <f t="shared" si="27"/>
        <v>6.6976826344201046E-2</v>
      </c>
      <c r="R64" s="43">
        <f t="shared" si="28"/>
        <v>28.633953652688401</v>
      </c>
      <c r="S64" s="76">
        <f t="shared" si="29"/>
        <v>0.66535527671741435</v>
      </c>
      <c r="T64">
        <v>150</v>
      </c>
      <c r="U64" s="44">
        <f t="shared" si="30"/>
        <v>225.44346644402896</v>
      </c>
      <c r="V64">
        <v>41.5</v>
      </c>
      <c r="W64" s="77">
        <f t="shared" si="31"/>
        <v>145.74353184192211</v>
      </c>
      <c r="X64">
        <v>2.15</v>
      </c>
      <c r="Y64" s="47">
        <f t="shared" si="32"/>
        <v>17.302605898470105</v>
      </c>
      <c r="Z64" s="47">
        <f t="shared" si="33"/>
        <v>71.544263459255461</v>
      </c>
    </row>
    <row r="65" spans="1:26" ht="15" customHeight="1" thickBot="1">
      <c r="A65">
        <v>29</v>
      </c>
      <c r="B65" t="s">
        <v>165</v>
      </c>
      <c r="C65">
        <v>0.05</v>
      </c>
      <c r="D65">
        <v>85</v>
      </c>
      <c r="E65" s="37">
        <f t="shared" si="17"/>
        <v>29.071428571428573</v>
      </c>
      <c r="F65">
        <v>30</v>
      </c>
      <c r="G65" s="71">
        <f t="shared" si="18"/>
        <v>1.4285714285714286</v>
      </c>
      <c r="H65" s="39">
        <f t="shared" si="19"/>
        <v>85</v>
      </c>
      <c r="I65">
        <v>85</v>
      </c>
      <c r="J65" s="71">
        <f t="shared" si="20"/>
        <v>7.1428571428571438E-2</v>
      </c>
      <c r="K65" s="71">
        <f t="shared" si="21"/>
        <v>29.142857142857142</v>
      </c>
      <c r="L65" s="72">
        <f t="shared" si="22"/>
        <v>42.943862393631889</v>
      </c>
      <c r="M65" s="73">
        <f t="shared" si="23"/>
        <v>0.93068494108145128</v>
      </c>
      <c r="N65" s="73">
        <f t="shared" si="24"/>
        <v>0.73202157166969295</v>
      </c>
      <c r="O65" s="74">
        <f t="shared" si="25"/>
        <v>26.7978428330307</v>
      </c>
      <c r="P65" s="75">
        <f t="shared" si="26"/>
        <v>1.3660799608938652</v>
      </c>
      <c r="Q65" s="37">
        <f t="shared" si="27"/>
        <v>6.8303998044693268E-2</v>
      </c>
      <c r="R65" s="43">
        <f t="shared" si="28"/>
        <v>29.136607996089385</v>
      </c>
      <c r="S65" s="76">
        <f t="shared" si="29"/>
        <v>0.68128145329975964</v>
      </c>
      <c r="T65">
        <v>150</v>
      </c>
      <c r="U65" s="44">
        <f t="shared" si="30"/>
        <v>220.17332084042647</v>
      </c>
      <c r="V65">
        <v>41.5</v>
      </c>
      <c r="W65" s="77">
        <f t="shared" si="31"/>
        <v>144.58792888268118</v>
      </c>
      <c r="X65">
        <v>2.15</v>
      </c>
      <c r="Y65" s="47">
        <f t="shared" si="32"/>
        <v>18.310915021342264</v>
      </c>
      <c r="Z65" s="47">
        <f t="shared" si="33"/>
        <v>75.713504437084993</v>
      </c>
    </row>
    <row r="66" spans="1:26" ht="15" customHeight="1" thickBot="1">
      <c r="A66">
        <v>29.5</v>
      </c>
      <c r="B66" t="s">
        <v>165</v>
      </c>
      <c r="C66">
        <v>0.05</v>
      </c>
      <c r="D66">
        <v>85</v>
      </c>
      <c r="E66" s="37">
        <f t="shared" si="17"/>
        <v>29.571428571428573</v>
      </c>
      <c r="F66">
        <v>30</v>
      </c>
      <c r="G66" s="71">
        <f t="shared" si="18"/>
        <v>1.4285714285714286</v>
      </c>
      <c r="H66" s="39">
        <f t="shared" si="19"/>
        <v>85</v>
      </c>
      <c r="I66">
        <v>85</v>
      </c>
      <c r="J66" s="71">
        <f t="shared" si="20"/>
        <v>7.1428571428571438E-2</v>
      </c>
      <c r="K66" s="71">
        <f t="shared" si="21"/>
        <v>29.642857142857142</v>
      </c>
      <c r="L66" s="72">
        <f t="shared" si="22"/>
        <v>42.456914994101147</v>
      </c>
      <c r="M66" s="73">
        <f t="shared" si="23"/>
        <v>0.91494872227089541</v>
      </c>
      <c r="N66" s="73">
        <f t="shared" si="24"/>
        <v>0.73778516393106219</v>
      </c>
      <c r="O66" s="74">
        <f t="shared" si="25"/>
        <v>26.221483606893781</v>
      </c>
      <c r="P66" s="75">
        <f t="shared" si="26"/>
        <v>1.3554081172787569</v>
      </c>
      <c r="Q66" s="37">
        <f t="shared" si="27"/>
        <v>6.7770405863937844E-2</v>
      </c>
      <c r="R66" s="43">
        <f t="shared" si="28"/>
        <v>29.635540811727875</v>
      </c>
      <c r="S66" s="76">
        <f t="shared" si="29"/>
        <v>0.67503559304914851</v>
      </c>
      <c r="T66">
        <v>150</v>
      </c>
      <c r="U66" s="44">
        <f t="shared" si="30"/>
        <v>222.21050496381557</v>
      </c>
      <c r="V66">
        <v>41.5</v>
      </c>
      <c r="W66" s="77">
        <f t="shared" si="31"/>
        <v>145.03572094517216</v>
      </c>
      <c r="X66">
        <v>2.15</v>
      </c>
      <c r="Y66" s="47">
        <f t="shared" si="32"/>
        <v>18.335672953597829</v>
      </c>
      <c r="Z66" s="47">
        <f t="shared" si="33"/>
        <v>75.81587560813243</v>
      </c>
    </row>
    <row r="67" spans="1:26" ht="15" customHeight="1" thickBot="1">
      <c r="A67">
        <v>30</v>
      </c>
      <c r="B67" t="s">
        <v>165</v>
      </c>
      <c r="C67">
        <v>0.05</v>
      </c>
      <c r="D67">
        <v>85</v>
      </c>
      <c r="E67" s="37">
        <f t="shared" si="17"/>
        <v>30.071428571428573</v>
      </c>
      <c r="F67">
        <v>30</v>
      </c>
      <c r="G67" s="71">
        <f t="shared" si="18"/>
        <v>1.4285714285714286</v>
      </c>
      <c r="H67" s="39">
        <f t="shared" si="19"/>
        <v>85</v>
      </c>
      <c r="I67">
        <v>85</v>
      </c>
      <c r="J67" s="71">
        <f t="shared" si="20"/>
        <v>7.1428571428571438E-2</v>
      </c>
      <c r="K67" s="71">
        <f t="shared" si="21"/>
        <v>30.142857142857142</v>
      </c>
      <c r="L67" s="72">
        <f t="shared" si="22"/>
        <v>41.97884876997378</v>
      </c>
      <c r="M67" s="73">
        <f t="shared" si="23"/>
        <v>0.89973579814762639</v>
      </c>
      <c r="N67" s="73">
        <f t="shared" si="24"/>
        <v>0.74339179851504322</v>
      </c>
      <c r="O67" s="74">
        <f t="shared" si="25"/>
        <v>25.660820148495677</v>
      </c>
      <c r="P67" s="75">
        <f t="shared" si="26"/>
        <v>1.3451856773205495</v>
      </c>
      <c r="Q67" s="37">
        <f t="shared" si="27"/>
        <v>6.7259283866027475E-2</v>
      </c>
      <c r="R67" s="43">
        <f t="shared" si="28"/>
        <v>30.134518567732055</v>
      </c>
      <c r="S67" s="76">
        <f t="shared" si="29"/>
        <v>0.66885621317333177</v>
      </c>
      <c r="T67">
        <v>150</v>
      </c>
      <c r="U67" s="44">
        <f t="shared" si="30"/>
        <v>224.26344712914855</v>
      </c>
      <c r="V67">
        <v>41.5</v>
      </c>
      <c r="W67" s="77">
        <f t="shared" si="31"/>
        <v>145.48558248057799</v>
      </c>
      <c r="X67">
        <v>2.15</v>
      </c>
      <c r="Y67" s="47">
        <f t="shared" si="32"/>
        <v>18.365232221442366</v>
      </c>
      <c r="Z67" s="47">
        <f t="shared" si="33"/>
        <v>75.938099743545408</v>
      </c>
    </row>
    <row r="68" spans="1:26" ht="15" customHeight="1" thickBot="1">
      <c r="A68">
        <v>30.5</v>
      </c>
      <c r="B68" t="s">
        <v>165</v>
      </c>
      <c r="C68">
        <v>0.05</v>
      </c>
      <c r="D68">
        <v>85</v>
      </c>
      <c r="E68" s="37">
        <f t="shared" si="17"/>
        <v>30.571428571428573</v>
      </c>
      <c r="F68">
        <v>30</v>
      </c>
      <c r="G68" s="71">
        <f t="shared" si="18"/>
        <v>1.4285714285714286</v>
      </c>
      <c r="H68" s="39">
        <f t="shared" si="19"/>
        <v>85</v>
      </c>
      <c r="I68">
        <v>85</v>
      </c>
      <c r="J68" s="71">
        <f t="shared" si="20"/>
        <v>7.1428571428571438E-2</v>
      </c>
      <c r="K68" s="71">
        <f t="shared" si="21"/>
        <v>30.642857142857142</v>
      </c>
      <c r="L68" s="72">
        <f t="shared" si="22"/>
        <v>41.509487722063469</v>
      </c>
      <c r="M68" s="73">
        <f t="shared" si="23"/>
        <v>0.88502049303773533</v>
      </c>
      <c r="N68" s="73">
        <f t="shared" si="24"/>
        <v>0.74884599413999398</v>
      </c>
      <c r="O68" s="74">
        <f t="shared" si="25"/>
        <v>25.115400586000604</v>
      </c>
      <c r="P68" s="75">
        <f t="shared" si="26"/>
        <v>1.3353880608634914</v>
      </c>
      <c r="Q68" s="37">
        <f t="shared" si="27"/>
        <v>6.6769403043174566E-2</v>
      </c>
      <c r="R68" s="43">
        <f t="shared" si="28"/>
        <v>30.633538806086349</v>
      </c>
      <c r="S68" s="76">
        <f t="shared" si="29"/>
        <v>0.66274405094311051</v>
      </c>
      <c r="T68">
        <v>150</v>
      </c>
      <c r="U68" s="44">
        <f t="shared" si="30"/>
        <v>226.33171853680795</v>
      </c>
      <c r="V68">
        <v>41.5</v>
      </c>
      <c r="W68" s="77">
        <f t="shared" si="31"/>
        <v>145.93740082389081</v>
      </c>
      <c r="X68">
        <v>2.15</v>
      </c>
      <c r="Y68" s="47">
        <f t="shared" si="32"/>
        <v>18.399356367348439</v>
      </c>
      <c r="Z68" s="47">
        <f t="shared" si="33"/>
        <v>76.079199118943095</v>
      </c>
    </row>
    <row r="69" spans="1:26" ht="15" customHeight="1" thickBot="1">
      <c r="A69">
        <v>31</v>
      </c>
      <c r="B69" t="s">
        <v>165</v>
      </c>
      <c r="C69">
        <v>0.05</v>
      </c>
      <c r="D69">
        <v>90</v>
      </c>
      <c r="E69" s="37">
        <f t="shared" si="17"/>
        <v>31.071428571428573</v>
      </c>
      <c r="F69">
        <v>30</v>
      </c>
      <c r="G69" s="71">
        <f t="shared" si="18"/>
        <v>1.4285714285714286</v>
      </c>
      <c r="H69" s="39">
        <f t="shared" si="19"/>
        <v>90</v>
      </c>
      <c r="I69">
        <v>90</v>
      </c>
      <c r="J69" s="71">
        <f t="shared" si="20"/>
        <v>7.1428571428571438E-2</v>
      </c>
      <c r="K69" s="71">
        <f t="shared" si="21"/>
        <v>31.142857142857142</v>
      </c>
      <c r="L69" s="72">
        <f t="shared" si="22"/>
        <v>42.676090034304735</v>
      </c>
      <c r="M69" s="73">
        <f t="shared" si="23"/>
        <v>0.92200106536345006</v>
      </c>
      <c r="N69" s="73">
        <f t="shared" si="24"/>
        <v>0.73519754096465317</v>
      </c>
      <c r="O69" s="74">
        <f t="shared" si="25"/>
        <v>26.480245903534676</v>
      </c>
      <c r="P69" s="75">
        <f t="shared" si="26"/>
        <v>1.3601786516966574</v>
      </c>
      <c r="Q69" s="37">
        <f t="shared" si="27"/>
        <v>6.8008932584832871E-2</v>
      </c>
      <c r="R69" s="43">
        <f t="shared" si="28"/>
        <v>31.136017865169666</v>
      </c>
      <c r="S69" s="76">
        <f t="shared" si="29"/>
        <v>0.67785291602199893</v>
      </c>
      <c r="T69">
        <v>150</v>
      </c>
      <c r="U69" s="44">
        <f t="shared" si="30"/>
        <v>221.28694360463874</v>
      </c>
      <c r="V69">
        <v>41.5</v>
      </c>
      <c r="W69" s="77">
        <f t="shared" si="31"/>
        <v>144.83288510161717</v>
      </c>
      <c r="X69">
        <v>2.15</v>
      </c>
      <c r="Y69" s="47">
        <f t="shared" si="32"/>
        <v>19.401863378700526</v>
      </c>
      <c r="Z69" s="47">
        <f t="shared" si="33"/>
        <v>80.224449040301252</v>
      </c>
    </row>
    <row r="70" spans="1:26" ht="15" customHeight="1" thickBot="1">
      <c r="A70">
        <v>31.5</v>
      </c>
      <c r="B70" t="s">
        <v>165</v>
      </c>
      <c r="C70">
        <v>0.05</v>
      </c>
      <c r="D70">
        <v>90</v>
      </c>
      <c r="E70" s="37">
        <f t="shared" si="17"/>
        <v>31.571428571428573</v>
      </c>
      <c r="F70">
        <v>30</v>
      </c>
      <c r="G70" s="71">
        <f t="shared" si="18"/>
        <v>1.4285714285714286</v>
      </c>
      <c r="H70" s="39">
        <f t="shared" si="19"/>
        <v>90</v>
      </c>
      <c r="I70">
        <v>90</v>
      </c>
      <c r="J70" s="71">
        <f t="shared" si="20"/>
        <v>7.1428571428571438E-2</v>
      </c>
      <c r="K70" s="71">
        <f t="shared" si="21"/>
        <v>31.642857142857142</v>
      </c>
      <c r="L70" s="72">
        <f t="shared" si="22"/>
        <v>42.220577167112033</v>
      </c>
      <c r="M70" s="73">
        <f t="shared" si="23"/>
        <v>0.90739923853642712</v>
      </c>
      <c r="N70" s="73">
        <f t="shared" si="24"/>
        <v>0.74056331569034561</v>
      </c>
      <c r="O70" s="74">
        <f t="shared" si="25"/>
        <v>25.943668430965438</v>
      </c>
      <c r="P70" s="75">
        <f t="shared" si="26"/>
        <v>1.3503234346246411</v>
      </c>
      <c r="Q70" s="37">
        <f t="shared" si="27"/>
        <v>6.7516171731232061E-2</v>
      </c>
      <c r="R70" s="43">
        <f t="shared" si="28"/>
        <v>31.635032343462463</v>
      </c>
      <c r="S70" s="76">
        <f t="shared" si="29"/>
        <v>0.67198658874543138</v>
      </c>
      <c r="T70">
        <v>150</v>
      </c>
      <c r="U70" s="44">
        <f t="shared" si="30"/>
        <v>223.21874054070517</v>
      </c>
      <c r="V70">
        <v>41.5</v>
      </c>
      <c r="W70" s="77">
        <f t="shared" si="31"/>
        <v>145.25682986188977</v>
      </c>
      <c r="X70">
        <v>2.15</v>
      </c>
      <c r="Y70" s="47">
        <f t="shared" si="32"/>
        <v>19.429164870985719</v>
      </c>
      <c r="Z70" s="47">
        <f t="shared" si="33"/>
        <v>80.337337536308411</v>
      </c>
    </row>
    <row r="71" spans="1:26" ht="15" customHeight="1" thickBot="1">
      <c r="A71">
        <v>32</v>
      </c>
      <c r="B71" t="s">
        <v>165</v>
      </c>
      <c r="C71">
        <v>0.05</v>
      </c>
      <c r="D71">
        <v>90</v>
      </c>
      <c r="E71" s="37">
        <f t="shared" si="17"/>
        <v>32.071428571428569</v>
      </c>
      <c r="F71">
        <v>30</v>
      </c>
      <c r="G71" s="71">
        <f t="shared" si="18"/>
        <v>1.4285714285714286</v>
      </c>
      <c r="H71" s="39">
        <f t="shared" si="19"/>
        <v>90</v>
      </c>
      <c r="I71">
        <v>90</v>
      </c>
      <c r="J71" s="71">
        <f t="shared" si="20"/>
        <v>7.1428571428571438E-2</v>
      </c>
      <c r="K71" s="71">
        <f t="shared" si="21"/>
        <v>32.142857142857146</v>
      </c>
      <c r="L71" s="72">
        <f t="shared" si="22"/>
        <v>41.772908653338824</v>
      </c>
      <c r="M71" s="73">
        <f t="shared" si="23"/>
        <v>0.89325270252360978</v>
      </c>
      <c r="N71" s="73">
        <f t="shared" si="24"/>
        <v>0.74579108330219257</v>
      </c>
      <c r="O71" s="74">
        <f t="shared" si="25"/>
        <v>25.420891669780744</v>
      </c>
      <c r="P71" s="75">
        <f t="shared" si="26"/>
        <v>1.3408580799494523</v>
      </c>
      <c r="Q71" s="37">
        <f t="shared" si="27"/>
        <v>6.7042903997472619E-2</v>
      </c>
      <c r="R71" s="43">
        <f t="shared" si="28"/>
        <v>32.134085807994943</v>
      </c>
      <c r="S71" s="76">
        <f t="shared" si="29"/>
        <v>0.66617990067769384</v>
      </c>
      <c r="T71">
        <v>150</v>
      </c>
      <c r="U71" s="44">
        <f t="shared" si="30"/>
        <v>225.1644035603708</v>
      </c>
      <c r="V71">
        <v>41.5</v>
      </c>
      <c r="W71" s="77">
        <f t="shared" si="31"/>
        <v>145.68257060646357</v>
      </c>
      <c r="X71">
        <v>2.15</v>
      </c>
      <c r="Y71" s="47">
        <f t="shared" si="32"/>
        <v>19.460887941915555</v>
      </c>
      <c r="Z71" s="47">
        <f t="shared" si="33"/>
        <v>80.46850874587409</v>
      </c>
    </row>
    <row r="72" spans="1:26" ht="15" customHeight="1" thickBot="1">
      <c r="A72">
        <v>32.5</v>
      </c>
      <c r="B72" t="s">
        <v>165</v>
      </c>
      <c r="C72">
        <v>0.05</v>
      </c>
      <c r="D72">
        <v>95</v>
      </c>
      <c r="E72" s="37">
        <f t="shared" si="17"/>
        <v>32.571428571428569</v>
      </c>
      <c r="F72">
        <v>30</v>
      </c>
      <c r="G72" s="71">
        <f t="shared" si="18"/>
        <v>1.4285714285714286</v>
      </c>
      <c r="H72" s="39">
        <f t="shared" si="19"/>
        <v>95</v>
      </c>
      <c r="I72">
        <v>95</v>
      </c>
      <c r="J72" s="71">
        <f t="shared" si="20"/>
        <v>7.1428571428571438E-2</v>
      </c>
      <c r="K72" s="71">
        <f t="shared" si="21"/>
        <v>32.642857142857146</v>
      </c>
      <c r="L72" s="72">
        <f t="shared" si="22"/>
        <v>42.873748022370158</v>
      </c>
      <c r="M72" s="73">
        <f t="shared" si="23"/>
        <v>0.92840385053958518</v>
      </c>
      <c r="N72" s="73">
        <f t="shared" si="24"/>
        <v>0.73285472560175202</v>
      </c>
      <c r="O72" s="74">
        <f t="shared" si="25"/>
        <v>26.714527439824803</v>
      </c>
      <c r="P72" s="75">
        <f t="shared" si="26"/>
        <v>1.364526917908448</v>
      </c>
      <c r="Q72" s="37">
        <f t="shared" si="27"/>
        <v>6.8226345895422411E-2</v>
      </c>
      <c r="R72" s="43">
        <f t="shared" si="28"/>
        <v>32.636452691790844</v>
      </c>
      <c r="S72" s="76">
        <f t="shared" si="29"/>
        <v>0.68038514913479753</v>
      </c>
      <c r="T72">
        <v>150</v>
      </c>
      <c r="U72" s="44">
        <f t="shared" si="30"/>
        <v>220.46336577267368</v>
      </c>
      <c r="V72">
        <v>41.5</v>
      </c>
      <c r="W72" s="77">
        <f t="shared" si="31"/>
        <v>144.65176809418062</v>
      </c>
      <c r="X72">
        <v>2.15</v>
      </c>
      <c r="Y72" s="47">
        <f t="shared" si="32"/>
        <v>20.468990987153756</v>
      </c>
      <c r="Z72" s="47">
        <f t="shared" si="33"/>
        <v>84.636897616649719</v>
      </c>
    </row>
    <row r="73" spans="1:26" ht="15" customHeight="1" thickBot="1">
      <c r="A73">
        <v>33</v>
      </c>
      <c r="B73" t="s">
        <v>165</v>
      </c>
      <c r="C73">
        <v>0.05</v>
      </c>
      <c r="D73">
        <v>95</v>
      </c>
      <c r="E73" s="37">
        <f t="shared" ref="E73:E79" si="34">A73+J73</f>
        <v>33.071428571428569</v>
      </c>
      <c r="F73">
        <v>30</v>
      </c>
      <c r="G73" s="71">
        <f t="shared" ref="G73:G104" si="35">100/(100-F73)</f>
        <v>1.4285714285714286</v>
      </c>
      <c r="H73" s="39">
        <f t="shared" ref="H73:H79" si="36">3.1415926*E73*M73</f>
        <v>95</v>
      </c>
      <c r="I73">
        <v>95</v>
      </c>
      <c r="J73" s="71">
        <f t="shared" ref="J73:J79" si="37">G73*C73</f>
        <v>7.1428571428571438E-2</v>
      </c>
      <c r="K73" s="71">
        <f t="shared" ref="K73:K104" si="38">A73+2*J73</f>
        <v>33.142857142857146</v>
      </c>
      <c r="L73" s="72">
        <f t="shared" ref="L73:L79" si="39">ATAN(I73/(3.1415926*(A73+J73)))*180/3.1415926</f>
        <v>42.438783022161047</v>
      </c>
      <c r="M73" s="73">
        <f t="shared" ref="M73:M79" si="40">I73/(3.1415926*(A73+J73))</f>
        <v>0.91436750722689164</v>
      </c>
      <c r="N73" s="73">
        <f t="shared" ref="N73:N79" si="41">COS(L73*3.1415926/180)</f>
        <v>0.73799875050556163</v>
      </c>
      <c r="O73" s="74">
        <f t="shared" ref="O73:O104" si="42">(D73-I73*N73)/D73*100</f>
        <v>26.200124949443836</v>
      </c>
      <c r="P73" s="75">
        <f t="shared" ref="P73:P104" si="43">100/(100-O73)</f>
        <v>1.3550158442882945</v>
      </c>
      <c r="Q73" s="37">
        <f t="shared" ref="Q73:Q104" si="44">P73*C73</f>
        <v>6.7750792214414726E-2</v>
      </c>
      <c r="R73" s="43">
        <f t="shared" ref="R73:R104" si="45">A73+2*Q73</f>
        <v>33.13550158442883</v>
      </c>
      <c r="S73" s="76">
        <f t="shared" ref="S73:S79" si="46">SIN(L73*3.1415926/180)</f>
        <v>0.67480207783633106</v>
      </c>
      <c r="T73">
        <v>150</v>
      </c>
      <c r="U73" s="44">
        <f t="shared" ref="U73:U104" si="47">T73/S73</f>
        <v>222.28740089383891</v>
      </c>
      <c r="V73">
        <v>41.5</v>
      </c>
      <c r="W73" s="77">
        <f t="shared" ref="W73:W104" si="48">2*SQRT((1000*U73*C73/3.1415926)+(V73*V73))</f>
        <v>145.05259631291025</v>
      </c>
      <c r="X73">
        <v>2.15</v>
      </c>
      <c r="Y73" s="47">
        <f t="shared" ref="Y73:Y79" si="49">3.14*(A73+Q73)*Q73*P73*2.15</f>
        <v>20.494225726223863</v>
      </c>
      <c r="Z73" s="47">
        <f t="shared" ref="Z73:Z79" si="50">3.14*(A73+Q73)*Q73*P73*8.89</f>
        <v>84.741240328432625</v>
      </c>
    </row>
    <row r="74" spans="1:26" ht="15" customHeight="1" thickBot="1">
      <c r="A74">
        <v>33.5</v>
      </c>
      <c r="B74" t="s">
        <v>165</v>
      </c>
      <c r="C74">
        <v>0.05</v>
      </c>
      <c r="D74">
        <v>95</v>
      </c>
      <c r="E74" s="37">
        <f t="shared" si="34"/>
        <v>33.571428571428569</v>
      </c>
      <c r="F74">
        <v>30</v>
      </c>
      <c r="G74" s="71">
        <f t="shared" si="35"/>
        <v>1.4285714285714286</v>
      </c>
      <c r="H74" s="39">
        <f t="shared" si="36"/>
        <v>95</v>
      </c>
      <c r="I74">
        <v>95</v>
      </c>
      <c r="J74" s="71">
        <f t="shared" si="37"/>
        <v>7.1428571428571438E-2</v>
      </c>
      <c r="K74" s="71">
        <f t="shared" si="38"/>
        <v>33.642857142857146</v>
      </c>
      <c r="L74" s="72">
        <f t="shared" si="39"/>
        <v>42.010922543721449</v>
      </c>
      <c r="M74" s="73">
        <f t="shared" si="40"/>
        <v>0.90074926775755504</v>
      </c>
      <c r="N74" s="73">
        <f t="shared" si="41"/>
        <v>0.74301726106700061</v>
      </c>
      <c r="O74" s="74">
        <f t="shared" si="42"/>
        <v>25.698273893299945</v>
      </c>
      <c r="P74" s="75">
        <f t="shared" si="43"/>
        <v>1.3458637536414195</v>
      </c>
      <c r="Q74" s="37">
        <f t="shared" si="44"/>
        <v>6.7293187682070973E-2</v>
      </c>
      <c r="R74" s="43">
        <f t="shared" si="45"/>
        <v>33.634586375364144</v>
      </c>
      <c r="S74" s="76">
        <f t="shared" si="46"/>
        <v>0.66927225383732492</v>
      </c>
      <c r="T74">
        <v>150</v>
      </c>
      <c r="U74" s="44">
        <f t="shared" si="47"/>
        <v>224.12403792322667</v>
      </c>
      <c r="V74">
        <v>41.5</v>
      </c>
      <c r="W74" s="77">
        <f t="shared" si="48"/>
        <v>145.4550777520939</v>
      </c>
      <c r="X74">
        <v>2.15</v>
      </c>
      <c r="Y74" s="47">
        <f t="shared" si="49"/>
        <v>20.523745856659783</v>
      </c>
      <c r="Z74" s="47">
        <f t="shared" si="50"/>
        <v>84.863302635211852</v>
      </c>
    </row>
    <row r="75" spans="1:26" ht="15" customHeight="1" thickBot="1">
      <c r="A75">
        <v>34</v>
      </c>
      <c r="B75" t="s">
        <v>165</v>
      </c>
      <c r="C75">
        <v>0.05</v>
      </c>
      <c r="D75">
        <v>95</v>
      </c>
      <c r="E75" s="37">
        <f t="shared" si="34"/>
        <v>34.071428571428569</v>
      </c>
      <c r="F75">
        <v>30</v>
      </c>
      <c r="G75" s="71">
        <f t="shared" si="35"/>
        <v>1.4285714285714286</v>
      </c>
      <c r="H75" s="39">
        <f t="shared" si="36"/>
        <v>95</v>
      </c>
      <c r="I75">
        <v>95</v>
      </c>
      <c r="J75" s="71">
        <f t="shared" si="37"/>
        <v>7.1428571428571438E-2</v>
      </c>
      <c r="K75" s="71">
        <f t="shared" si="38"/>
        <v>34.142857142857146</v>
      </c>
      <c r="L75" s="72">
        <f t="shared" si="39"/>
        <v>41.590040500742681</v>
      </c>
      <c r="M75" s="73">
        <f t="shared" si="40"/>
        <v>0.88753072504413177</v>
      </c>
      <c r="N75" s="73">
        <f t="shared" si="41"/>
        <v>0.74791349509330318</v>
      </c>
      <c r="O75" s="74">
        <f t="shared" si="42"/>
        <v>25.208650490669683</v>
      </c>
      <c r="P75" s="75">
        <f t="shared" si="43"/>
        <v>1.337053023592319</v>
      </c>
      <c r="Q75" s="37">
        <f t="shared" si="44"/>
        <v>6.685265117961596E-2</v>
      </c>
      <c r="R75" s="43">
        <f t="shared" si="45"/>
        <v>34.133705302359232</v>
      </c>
      <c r="S75" s="76">
        <f t="shared" si="46"/>
        <v>0.66379620657045002</v>
      </c>
      <c r="T75">
        <v>150</v>
      </c>
      <c r="U75" s="44">
        <f t="shared" si="47"/>
        <v>225.97296958803906</v>
      </c>
      <c r="V75">
        <v>41.5</v>
      </c>
      <c r="W75" s="77">
        <f t="shared" si="48"/>
        <v>145.85913166968035</v>
      </c>
      <c r="X75">
        <v>2.15</v>
      </c>
      <c r="Y75" s="47">
        <f t="shared" si="49"/>
        <v>20.557362082050201</v>
      </c>
      <c r="Z75" s="47">
        <f t="shared" si="50"/>
        <v>85.002301818337813</v>
      </c>
    </row>
    <row r="76" spans="1:26" ht="15" customHeight="1" thickBot="1">
      <c r="A76">
        <v>34.5</v>
      </c>
      <c r="B76" t="s">
        <v>165</v>
      </c>
      <c r="C76">
        <v>0.05</v>
      </c>
      <c r="D76">
        <v>100</v>
      </c>
      <c r="E76" s="37">
        <f t="shared" si="34"/>
        <v>34.571428571428569</v>
      </c>
      <c r="F76">
        <v>30</v>
      </c>
      <c r="G76" s="71">
        <f t="shared" si="35"/>
        <v>1.4285714285714286</v>
      </c>
      <c r="H76" s="39">
        <f t="shared" si="36"/>
        <v>100</v>
      </c>
      <c r="I76">
        <v>100</v>
      </c>
      <c r="J76" s="71">
        <f t="shared" si="37"/>
        <v>7.1428571428571438E-2</v>
      </c>
      <c r="K76" s="71">
        <f t="shared" si="38"/>
        <v>34.642857142857146</v>
      </c>
      <c r="L76" s="72">
        <f t="shared" si="39"/>
        <v>42.636734988992686</v>
      </c>
      <c r="M76" s="73">
        <f t="shared" si="40"/>
        <v>0.92073109144421672</v>
      </c>
      <c r="N76" s="73">
        <f t="shared" si="41"/>
        <v>0.7356629677896146</v>
      </c>
      <c r="O76" s="74">
        <f t="shared" si="42"/>
        <v>26.433703221038542</v>
      </c>
      <c r="P76" s="75">
        <f t="shared" si="43"/>
        <v>1.359318116833605</v>
      </c>
      <c r="Q76" s="37">
        <f t="shared" si="44"/>
        <v>6.796590584168026E-2</v>
      </c>
      <c r="R76" s="43">
        <f t="shared" si="45"/>
        <v>34.635931811683363</v>
      </c>
      <c r="S76" s="76">
        <f t="shared" si="46"/>
        <v>0.67734776726802348</v>
      </c>
      <c r="T76">
        <v>150</v>
      </c>
      <c r="U76" s="44">
        <f t="shared" si="47"/>
        <v>221.45197378445874</v>
      </c>
      <c r="V76">
        <v>41.5</v>
      </c>
      <c r="W76" s="77">
        <f t="shared" si="48"/>
        <v>144.86915045857253</v>
      </c>
      <c r="X76">
        <v>2.15</v>
      </c>
      <c r="Y76" s="47">
        <f t="shared" si="49"/>
        <v>21.560267635956485</v>
      </c>
      <c r="Z76" s="47">
        <f t="shared" si="50"/>
        <v>89.14919966681542</v>
      </c>
    </row>
    <row r="77" spans="1:26" ht="15" customHeight="1" thickBot="1">
      <c r="A77">
        <v>35</v>
      </c>
      <c r="B77" t="s">
        <v>165</v>
      </c>
      <c r="C77">
        <v>0.05</v>
      </c>
      <c r="D77">
        <v>100</v>
      </c>
      <c r="E77" s="37">
        <f t="shared" si="34"/>
        <v>35.071428571428569</v>
      </c>
      <c r="F77">
        <v>30</v>
      </c>
      <c r="G77" s="71">
        <f t="shared" si="35"/>
        <v>1.4285714285714286</v>
      </c>
      <c r="H77" s="39">
        <f t="shared" si="36"/>
        <v>100</v>
      </c>
      <c r="I77">
        <v>100</v>
      </c>
      <c r="J77" s="71">
        <f t="shared" si="37"/>
        <v>7.1428571428571438E-2</v>
      </c>
      <c r="K77" s="71">
        <f t="shared" si="38"/>
        <v>35.142857142857146</v>
      </c>
      <c r="L77" s="72">
        <f t="shared" si="39"/>
        <v>42.227028910124147</v>
      </c>
      <c r="M77" s="73">
        <f t="shared" si="40"/>
        <v>0.90760457893890201</v>
      </c>
      <c r="N77" s="73">
        <f t="shared" si="41"/>
        <v>0.74048764251268828</v>
      </c>
      <c r="O77" s="74">
        <f t="shared" si="42"/>
        <v>25.951235748731165</v>
      </c>
      <c r="P77" s="75">
        <f t="shared" si="43"/>
        <v>1.350461429182952</v>
      </c>
      <c r="Q77" s="37">
        <f t="shared" si="44"/>
        <v>6.7523071459147599E-2</v>
      </c>
      <c r="R77" s="43">
        <f t="shared" si="45"/>
        <v>35.135046142918299</v>
      </c>
      <c r="S77" s="76">
        <f t="shared" si="46"/>
        <v>0.67206997499218868</v>
      </c>
      <c r="T77">
        <v>150</v>
      </c>
      <c r="U77" s="44">
        <f t="shared" si="47"/>
        <v>223.19104495293575</v>
      </c>
      <c r="V77">
        <v>41.5</v>
      </c>
      <c r="W77" s="77">
        <f t="shared" si="48"/>
        <v>145.25076063696801</v>
      </c>
      <c r="X77">
        <v>2.15</v>
      </c>
      <c r="Y77" s="47">
        <f t="shared" si="49"/>
        <v>21.587759600966031</v>
      </c>
      <c r="Z77" s="47">
        <f t="shared" si="50"/>
        <v>89.262875745389778</v>
      </c>
    </row>
    <row r="78" spans="1:26" ht="15" customHeight="1" thickBot="1">
      <c r="A78">
        <v>35.5</v>
      </c>
      <c r="B78" t="s">
        <v>165</v>
      </c>
      <c r="C78">
        <v>0.05</v>
      </c>
      <c r="D78">
        <v>100</v>
      </c>
      <c r="E78" s="37">
        <f t="shared" si="34"/>
        <v>35.571428571428569</v>
      </c>
      <c r="F78">
        <v>30</v>
      </c>
      <c r="G78" s="71">
        <f t="shared" si="35"/>
        <v>1.4285714285714286</v>
      </c>
      <c r="H78" s="39">
        <f t="shared" si="36"/>
        <v>100</v>
      </c>
      <c r="I78">
        <v>100</v>
      </c>
      <c r="J78" s="71">
        <f t="shared" si="37"/>
        <v>7.1428571428571438E-2</v>
      </c>
      <c r="K78" s="71">
        <f t="shared" si="38"/>
        <v>35.642857142857146</v>
      </c>
      <c r="L78" s="72">
        <f t="shared" si="39"/>
        <v>41.823678457453468</v>
      </c>
      <c r="M78" s="73">
        <f t="shared" si="40"/>
        <v>0.89484708485743147</v>
      </c>
      <c r="N78" s="73">
        <f t="shared" si="41"/>
        <v>0.74520048843032183</v>
      </c>
      <c r="O78" s="74">
        <f t="shared" si="42"/>
        <v>25.479951156967818</v>
      </c>
      <c r="P78" s="75">
        <f t="shared" si="43"/>
        <v>1.3419207522345882</v>
      </c>
      <c r="Q78" s="37">
        <f t="shared" si="44"/>
        <v>6.7096037611729414E-2</v>
      </c>
      <c r="R78" s="43">
        <f t="shared" si="45"/>
        <v>35.63419207522346</v>
      </c>
      <c r="S78" s="76">
        <f t="shared" si="46"/>
        <v>0.66684048470620749</v>
      </c>
      <c r="T78">
        <v>150</v>
      </c>
      <c r="U78" s="44">
        <f t="shared" si="47"/>
        <v>224.94135170285301</v>
      </c>
      <c r="V78">
        <v>41.5</v>
      </c>
      <c r="W78" s="77">
        <f t="shared" si="48"/>
        <v>145.63382662001678</v>
      </c>
      <c r="X78">
        <v>2.15</v>
      </c>
      <c r="Y78" s="47">
        <f t="shared" si="49"/>
        <v>21.619231807182441</v>
      </c>
      <c r="Z78" s="47">
        <f t="shared" si="50"/>
        <v>89.393009658535775</v>
      </c>
    </row>
    <row r="79" spans="1:26">
      <c r="A79">
        <v>36</v>
      </c>
      <c r="B79" t="s">
        <v>165</v>
      </c>
      <c r="C79">
        <v>0.05</v>
      </c>
      <c r="D79">
        <v>100</v>
      </c>
      <c r="E79" s="37">
        <f t="shared" si="34"/>
        <v>36.071428571428569</v>
      </c>
      <c r="F79">
        <v>30</v>
      </c>
      <c r="G79" s="71">
        <f t="shared" si="35"/>
        <v>1.4285714285714286</v>
      </c>
      <c r="H79" s="39">
        <f t="shared" si="36"/>
        <v>100</v>
      </c>
      <c r="I79">
        <v>100</v>
      </c>
      <c r="J79" s="71">
        <f t="shared" si="37"/>
        <v>7.1428571428571438E-2</v>
      </c>
      <c r="K79" s="71">
        <f t="shared" si="38"/>
        <v>36.142857142857146</v>
      </c>
      <c r="L79" s="72">
        <f t="shared" si="39"/>
        <v>41.426575941928064</v>
      </c>
      <c r="M79" s="73">
        <f t="shared" si="40"/>
        <v>0.88244326387920968</v>
      </c>
      <c r="N79" s="73">
        <f t="shared" si="41"/>
        <v>0.74980425574364407</v>
      </c>
      <c r="O79" s="74">
        <f t="shared" si="42"/>
        <v>25.0195744256356</v>
      </c>
      <c r="P79" s="75">
        <f t="shared" si="43"/>
        <v>1.3336814139687907</v>
      </c>
      <c r="Q79" s="37">
        <f t="shared" si="44"/>
        <v>6.668407069843954E-2</v>
      </c>
      <c r="R79" s="43">
        <f t="shared" si="45"/>
        <v>36.133368141396879</v>
      </c>
      <c r="S79" s="76">
        <f t="shared" si="46"/>
        <v>0.66165971470894314</v>
      </c>
      <c r="T79">
        <v>150</v>
      </c>
      <c r="U79" s="44">
        <f t="shared" si="47"/>
        <v>226.70263379414502</v>
      </c>
      <c r="V79">
        <v>41.5</v>
      </c>
      <c r="W79" s="77">
        <f t="shared" si="48"/>
        <v>146.01828021965306</v>
      </c>
      <c r="X79">
        <v>2.15</v>
      </c>
      <c r="Y79" s="47">
        <f t="shared" si="49"/>
        <v>21.654518221693948</v>
      </c>
      <c r="Z79" s="47">
        <f t="shared" si="50"/>
        <v>89.538914879469402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25"/>
  <dimension ref="A2:Z207"/>
  <sheetViews>
    <sheetView topLeftCell="I1" workbookViewId="0">
      <selection activeCell="O23" sqref="O23"/>
    </sheetView>
  </sheetViews>
  <sheetFormatPr defaultRowHeight="15"/>
  <cols>
    <col min="6" max="6" width="17.7109375" customWidth="1"/>
    <col min="10" max="10" width="17.28515625" customWidth="1"/>
    <col min="11" max="11" width="13.42578125" customWidth="1"/>
    <col min="17" max="17" width="16" customWidth="1"/>
    <col min="18" max="18" width="15.42578125" customWidth="1"/>
    <col min="21" max="21" width="16.42578125" customWidth="1"/>
    <col min="22" max="23" width="12.5703125" customWidth="1"/>
  </cols>
  <sheetData>
    <row r="2" spans="1:26">
      <c r="A2" t="s">
        <v>166</v>
      </c>
    </row>
    <row r="7" spans="1:26" ht="57.6" customHeight="1">
      <c r="A7" s="2" t="s">
        <v>106</v>
      </c>
      <c r="B7" s="2" t="s">
        <v>149</v>
      </c>
      <c r="C7" s="2" t="s">
        <v>150</v>
      </c>
      <c r="D7" s="2" t="s">
        <v>151</v>
      </c>
      <c r="E7" s="2" t="s">
        <v>110</v>
      </c>
      <c r="F7" s="2" t="s">
        <v>111</v>
      </c>
      <c r="G7" s="2" t="s">
        <v>112</v>
      </c>
      <c r="H7" s="2" t="s">
        <v>113</v>
      </c>
      <c r="I7" s="2" t="s">
        <v>114</v>
      </c>
      <c r="J7" s="2" t="s">
        <v>115</v>
      </c>
      <c r="K7" s="2" t="s">
        <v>116</v>
      </c>
      <c r="L7" s="2" t="s">
        <v>152</v>
      </c>
      <c r="M7" s="2" t="s">
        <v>118</v>
      </c>
      <c r="N7" s="2" t="s">
        <v>119</v>
      </c>
      <c r="O7" s="2" t="s">
        <v>153</v>
      </c>
      <c r="P7" s="2" t="s">
        <v>112</v>
      </c>
      <c r="Q7" s="2" t="s">
        <v>154</v>
      </c>
      <c r="R7" s="2" t="s">
        <v>122</v>
      </c>
      <c r="S7" s="2" t="s">
        <v>123</v>
      </c>
      <c r="T7" s="2" t="s">
        <v>155</v>
      </c>
      <c r="U7" s="2" t="s">
        <v>156</v>
      </c>
      <c r="V7" s="2" t="s">
        <v>157</v>
      </c>
      <c r="W7" s="2" t="s">
        <v>158</v>
      </c>
      <c r="X7" s="2" t="s">
        <v>124</v>
      </c>
      <c r="Y7" s="2" t="s">
        <v>125</v>
      </c>
      <c r="Z7" s="2" t="s">
        <v>106</v>
      </c>
    </row>
    <row r="8" spans="1:26" ht="43.9" customHeight="1" thickBot="1">
      <c r="A8" s="2" t="s">
        <v>126</v>
      </c>
      <c r="B8" s="2"/>
      <c r="C8" s="2" t="s">
        <v>127</v>
      </c>
      <c r="D8" s="2" t="s">
        <v>128</v>
      </c>
      <c r="E8" s="2" t="s">
        <v>129</v>
      </c>
      <c r="F8" s="2" t="s">
        <v>130</v>
      </c>
      <c r="G8" s="2" t="s">
        <v>131</v>
      </c>
      <c r="H8" s="2" t="s">
        <v>132</v>
      </c>
      <c r="I8" s="2" t="s">
        <v>133</v>
      </c>
      <c r="J8" s="2" t="s">
        <v>134</v>
      </c>
      <c r="K8" s="2" t="s">
        <v>135</v>
      </c>
      <c r="L8" s="2" t="s">
        <v>136</v>
      </c>
      <c r="M8" s="2" t="s">
        <v>137</v>
      </c>
      <c r="N8" s="2" t="s">
        <v>138</v>
      </c>
      <c r="O8" s="2" t="s">
        <v>139</v>
      </c>
      <c r="P8" s="2" t="s">
        <v>131</v>
      </c>
      <c r="Q8" s="2" t="s">
        <v>140</v>
      </c>
      <c r="R8" s="2" t="s">
        <v>141</v>
      </c>
      <c r="S8" s="2" t="s">
        <v>142</v>
      </c>
      <c r="T8" s="2" t="s">
        <v>161</v>
      </c>
      <c r="U8" s="2" t="s">
        <v>162</v>
      </c>
      <c r="V8" s="2" t="s">
        <v>163</v>
      </c>
      <c r="W8" s="2" t="s">
        <v>164</v>
      </c>
      <c r="X8" s="2"/>
      <c r="Y8" s="2"/>
      <c r="Z8" s="2" t="s">
        <v>126</v>
      </c>
    </row>
    <row r="9" spans="1:26" ht="15" customHeight="1" thickBot="1">
      <c r="A9">
        <v>1</v>
      </c>
      <c r="B9" t="s">
        <v>167</v>
      </c>
      <c r="C9">
        <v>0.05</v>
      </c>
      <c r="D9">
        <v>5</v>
      </c>
      <c r="E9" s="37">
        <f t="shared" ref="E9:E40" si="0">A9+J9</f>
        <v>1.0714285714285714</v>
      </c>
      <c r="F9">
        <v>30</v>
      </c>
      <c r="G9" s="71">
        <f t="shared" ref="G9:G40" si="1">100/(100-F9)</f>
        <v>1.4285714285714286</v>
      </c>
      <c r="H9" s="39">
        <f t="shared" ref="H9:H40" si="2">3.1415926*E9*M9</f>
        <v>5</v>
      </c>
      <c r="I9">
        <v>5</v>
      </c>
      <c r="J9" s="71">
        <f t="shared" ref="J9:J40" si="3">G9*C9</f>
        <v>7.1428571428571438E-2</v>
      </c>
      <c r="K9" s="71">
        <f t="shared" ref="K9:K40" si="4">A9+2*J9</f>
        <v>1.1428571428571428</v>
      </c>
      <c r="L9" s="72">
        <f t="shared" ref="L9:L40" si="5">ATAN(I9/(3.1415926*(A9+J9)))*180/3.1415926</f>
        <v>56.051623581344536</v>
      </c>
      <c r="M9" s="73">
        <f t="shared" ref="M9:M40" si="6">I9/(3.1415926*(A9+J9))</f>
        <v>1.4854461608633363</v>
      </c>
      <c r="N9" s="73">
        <f t="shared" ref="N9:N40" si="7">COS(L9*3.1415926/180)</f>
        <v>0.55844572636923095</v>
      </c>
      <c r="O9" s="74">
        <f t="shared" ref="O9:O40" si="8">(D9-I9*N9)/D9*100</f>
        <v>44.155427363076903</v>
      </c>
      <c r="P9" s="75">
        <f t="shared" ref="P9:P40" si="9">100/(100-O9)</f>
        <v>1.790684309649142</v>
      </c>
      <c r="Q9" s="37">
        <f t="shared" ref="Q9:Q40" si="10">P9*C9</f>
        <v>8.9534215482457102E-2</v>
      </c>
      <c r="R9" s="43">
        <f t="shared" ref="R9:R40" si="11">A9+2*Q9</f>
        <v>1.1790684309649142</v>
      </c>
      <c r="S9" s="76">
        <f t="shared" ref="S9:S40" si="12">SIN(L9*3.1415926/180)</f>
        <v>0.82954106028571128</v>
      </c>
      <c r="T9">
        <v>150</v>
      </c>
      <c r="U9" s="44">
        <f t="shared" ref="U9:U40" si="13">T9/S9</f>
        <v>180.82287566131671</v>
      </c>
      <c r="V9">
        <v>41.5</v>
      </c>
      <c r="W9" s="77">
        <f t="shared" ref="W9:W40" si="14">2*SQRT((1000*U9*C9/3.1415926)+(V9*V9))</f>
        <v>135.6485974516568</v>
      </c>
      <c r="X9">
        <f t="shared" ref="X9:X40" si="15">1.44</f>
        <v>1.44</v>
      </c>
      <c r="Y9" s="47">
        <f t="shared" ref="Y9:Y40" si="16">3.14*(A9+Q9)*Q9*X9*P9</f>
        <v>0.78984354692534198</v>
      </c>
      <c r="Z9">
        <v>1</v>
      </c>
    </row>
    <row r="10" spans="1:26" ht="15" customHeight="1" thickBot="1">
      <c r="A10">
        <v>1.5</v>
      </c>
      <c r="B10" t="s">
        <v>167</v>
      </c>
      <c r="C10">
        <v>0.05</v>
      </c>
      <c r="D10">
        <v>5</v>
      </c>
      <c r="E10" s="37">
        <f t="shared" si="0"/>
        <v>1.5714285714285714</v>
      </c>
      <c r="F10">
        <v>30</v>
      </c>
      <c r="G10" s="71">
        <f t="shared" si="1"/>
        <v>1.4285714285714286</v>
      </c>
      <c r="H10" s="39">
        <f t="shared" si="2"/>
        <v>5</v>
      </c>
      <c r="I10">
        <v>5</v>
      </c>
      <c r="J10" s="71">
        <f t="shared" si="3"/>
        <v>7.1428571428571438E-2</v>
      </c>
      <c r="K10" s="71">
        <f t="shared" si="4"/>
        <v>1.6428571428571428</v>
      </c>
      <c r="L10" s="72">
        <f t="shared" si="5"/>
        <v>45.364475747547274</v>
      </c>
      <c r="M10" s="73">
        <f t="shared" si="6"/>
        <v>1.0128042005886384</v>
      </c>
      <c r="N10" s="73">
        <f t="shared" si="7"/>
        <v>0.70259439456684691</v>
      </c>
      <c r="O10" s="74">
        <f t="shared" si="8"/>
        <v>29.740560543315304</v>
      </c>
      <c r="P10" s="75">
        <f t="shared" si="9"/>
        <v>1.4232962968862071</v>
      </c>
      <c r="Q10" s="37">
        <f t="shared" si="10"/>
        <v>7.1164814844310351E-2</v>
      </c>
      <c r="R10" s="43">
        <f t="shared" si="11"/>
        <v>1.6423296296886207</v>
      </c>
      <c r="S10" s="76">
        <f t="shared" si="12"/>
        <v>0.71159055412733374</v>
      </c>
      <c r="T10">
        <v>151</v>
      </c>
      <c r="U10" s="44">
        <f t="shared" si="13"/>
        <v>212.2006807484683</v>
      </c>
      <c r="V10">
        <v>41.5</v>
      </c>
      <c r="W10" s="77">
        <f t="shared" si="14"/>
        <v>142.82197008119664</v>
      </c>
      <c r="X10">
        <f t="shared" si="15"/>
        <v>1.44</v>
      </c>
      <c r="Y10" s="47">
        <f t="shared" si="16"/>
        <v>0.71957245138822845</v>
      </c>
      <c r="Z10">
        <v>1.5</v>
      </c>
    </row>
    <row r="11" spans="1:26" ht="15" customHeight="1" thickBot="1">
      <c r="A11">
        <v>2</v>
      </c>
      <c r="B11" t="s">
        <v>167</v>
      </c>
      <c r="C11">
        <v>0.05</v>
      </c>
      <c r="D11">
        <v>10</v>
      </c>
      <c r="E11" s="37">
        <f t="shared" si="0"/>
        <v>2.0714285714285716</v>
      </c>
      <c r="F11">
        <v>30</v>
      </c>
      <c r="G11" s="71">
        <f t="shared" si="1"/>
        <v>1.4285714285714286</v>
      </c>
      <c r="H11" s="39">
        <f t="shared" si="2"/>
        <v>10</v>
      </c>
      <c r="I11">
        <v>10</v>
      </c>
      <c r="J11" s="71">
        <f t="shared" si="3"/>
        <v>7.1428571428571438E-2</v>
      </c>
      <c r="K11" s="71">
        <f t="shared" si="4"/>
        <v>2.1428571428571428</v>
      </c>
      <c r="L11" s="72">
        <f t="shared" si="5"/>
        <v>56.945594289987973</v>
      </c>
      <c r="M11" s="73">
        <f t="shared" si="6"/>
        <v>1.5366684422724166</v>
      </c>
      <c r="N11" s="73">
        <f t="shared" si="7"/>
        <v>0.54543517055948365</v>
      </c>
      <c r="O11" s="74">
        <f t="shared" si="8"/>
        <v>45.456482944051636</v>
      </c>
      <c r="P11" s="75">
        <f t="shared" si="9"/>
        <v>1.8333984568216302</v>
      </c>
      <c r="Q11" s="37">
        <f t="shared" si="10"/>
        <v>9.1669922841081511E-2</v>
      </c>
      <c r="R11" s="43">
        <f t="shared" si="11"/>
        <v>2.1833398456821631</v>
      </c>
      <c r="S11" s="76">
        <f t="shared" si="12"/>
        <v>0.83815301390423158</v>
      </c>
      <c r="T11">
        <v>152</v>
      </c>
      <c r="U11" s="44">
        <f t="shared" si="13"/>
        <v>181.35113455234526</v>
      </c>
      <c r="V11">
        <v>41.5</v>
      </c>
      <c r="W11" s="77">
        <f t="shared" si="14"/>
        <v>135.77250088538204</v>
      </c>
      <c r="X11">
        <f t="shared" si="15"/>
        <v>1.44</v>
      </c>
      <c r="Y11" s="47">
        <f t="shared" si="16"/>
        <v>1.5895310612871472</v>
      </c>
      <c r="Z11">
        <v>2</v>
      </c>
    </row>
    <row r="12" spans="1:26" ht="15" customHeight="1" thickBot="1">
      <c r="A12">
        <v>2.5</v>
      </c>
      <c r="B12" t="s">
        <v>167</v>
      </c>
      <c r="C12">
        <v>0.05</v>
      </c>
      <c r="D12">
        <v>10</v>
      </c>
      <c r="E12" s="37">
        <f t="shared" si="0"/>
        <v>2.5714285714285716</v>
      </c>
      <c r="F12">
        <v>30</v>
      </c>
      <c r="G12" s="71">
        <f t="shared" si="1"/>
        <v>1.4285714285714286</v>
      </c>
      <c r="H12" s="39">
        <f t="shared" si="2"/>
        <v>10</v>
      </c>
      <c r="I12">
        <v>10</v>
      </c>
      <c r="J12" s="71">
        <f t="shared" si="3"/>
        <v>7.1428571428571438E-2</v>
      </c>
      <c r="K12" s="71">
        <f t="shared" si="4"/>
        <v>2.6428571428571428</v>
      </c>
      <c r="L12" s="72">
        <f t="shared" si="5"/>
        <v>51.067402393027429</v>
      </c>
      <c r="M12" s="73">
        <f t="shared" si="6"/>
        <v>1.2378718007194467</v>
      </c>
      <c r="N12" s="73">
        <f t="shared" si="7"/>
        <v>0.62840573802961297</v>
      </c>
      <c r="O12" s="74">
        <f t="shared" si="8"/>
        <v>37.159426197038705</v>
      </c>
      <c r="P12" s="75">
        <f t="shared" si="9"/>
        <v>1.5913285628733009</v>
      </c>
      <c r="Q12" s="37">
        <f t="shared" si="10"/>
        <v>7.9566428143665047E-2</v>
      </c>
      <c r="R12" s="43">
        <f t="shared" si="11"/>
        <v>2.65913285628733</v>
      </c>
      <c r="S12" s="76">
        <f t="shared" si="12"/>
        <v>0.77788574251714981</v>
      </c>
      <c r="T12">
        <v>153</v>
      </c>
      <c r="U12" s="44">
        <f t="shared" si="13"/>
        <v>196.6869832385787</v>
      </c>
      <c r="V12">
        <v>41.5</v>
      </c>
      <c r="W12" s="77">
        <f t="shared" si="14"/>
        <v>139.32150754027353</v>
      </c>
      <c r="X12">
        <f t="shared" si="15"/>
        <v>1.44</v>
      </c>
      <c r="Y12" s="47">
        <f t="shared" si="16"/>
        <v>1.4768234397030955</v>
      </c>
      <c r="Z12">
        <v>2.5</v>
      </c>
    </row>
    <row r="13" spans="1:26" ht="15" customHeight="1" thickBot="1">
      <c r="A13">
        <v>3</v>
      </c>
      <c r="B13" t="s">
        <v>167</v>
      </c>
      <c r="C13">
        <v>0.05</v>
      </c>
      <c r="D13">
        <v>10</v>
      </c>
      <c r="E13" s="37">
        <f t="shared" si="0"/>
        <v>3.0714285714285716</v>
      </c>
      <c r="F13">
        <v>30</v>
      </c>
      <c r="G13" s="71">
        <f t="shared" si="1"/>
        <v>1.4285714285714286</v>
      </c>
      <c r="H13" s="39">
        <f t="shared" si="2"/>
        <v>10</v>
      </c>
      <c r="I13">
        <v>10</v>
      </c>
      <c r="J13" s="71">
        <f t="shared" si="3"/>
        <v>7.1428571428571438E-2</v>
      </c>
      <c r="K13" s="71">
        <f t="shared" si="4"/>
        <v>3.1428571428571428</v>
      </c>
      <c r="L13" s="72">
        <f t="shared" si="5"/>
        <v>46.022869374439352</v>
      </c>
      <c r="M13" s="73">
        <f t="shared" si="6"/>
        <v>1.0363577866488392</v>
      </c>
      <c r="N13" s="73">
        <f t="shared" si="7"/>
        <v>0.694371203472256</v>
      </c>
      <c r="O13" s="74">
        <f t="shared" si="8"/>
        <v>30.562879652774395</v>
      </c>
      <c r="P13" s="75">
        <f t="shared" si="9"/>
        <v>1.4401518884991542</v>
      </c>
      <c r="Q13" s="37">
        <f t="shared" si="10"/>
        <v>7.2007594424957716E-2</v>
      </c>
      <c r="R13" s="43">
        <f t="shared" si="11"/>
        <v>3.1440151888499153</v>
      </c>
      <c r="S13" s="76">
        <f t="shared" si="12"/>
        <v>0.7196170035431978</v>
      </c>
      <c r="T13">
        <v>154</v>
      </c>
      <c r="U13" s="44">
        <f t="shared" si="13"/>
        <v>214.00272539662907</v>
      </c>
      <c r="V13">
        <v>41.5</v>
      </c>
      <c r="W13" s="77">
        <f t="shared" si="14"/>
        <v>143.22303189502031</v>
      </c>
      <c r="X13">
        <f t="shared" si="15"/>
        <v>1.44</v>
      </c>
      <c r="Y13" s="47">
        <f t="shared" si="16"/>
        <v>1.4404594132416191</v>
      </c>
      <c r="Z13">
        <v>3</v>
      </c>
    </row>
    <row r="14" spans="1:26" ht="15" customHeight="1" thickBot="1">
      <c r="A14">
        <v>3.5</v>
      </c>
      <c r="B14" t="s">
        <v>167</v>
      </c>
      <c r="C14">
        <v>0.05</v>
      </c>
      <c r="D14">
        <v>15</v>
      </c>
      <c r="E14" s="37">
        <f t="shared" si="0"/>
        <v>3.5714285714285716</v>
      </c>
      <c r="F14">
        <v>30</v>
      </c>
      <c r="G14" s="71">
        <f t="shared" si="1"/>
        <v>1.4285714285714286</v>
      </c>
      <c r="H14" s="39">
        <f t="shared" si="2"/>
        <v>15</v>
      </c>
      <c r="I14">
        <v>15</v>
      </c>
      <c r="J14" s="71">
        <f t="shared" si="3"/>
        <v>7.1428571428571438E-2</v>
      </c>
      <c r="K14" s="71">
        <f t="shared" si="4"/>
        <v>3.6428571428571428</v>
      </c>
      <c r="L14" s="72">
        <f t="shared" si="5"/>
        <v>53.20357702401401</v>
      </c>
      <c r="M14" s="73">
        <f t="shared" si="6"/>
        <v>1.3369015447770025</v>
      </c>
      <c r="N14" s="73">
        <f t="shared" si="7"/>
        <v>0.59897361969499452</v>
      </c>
      <c r="O14" s="74">
        <f t="shared" si="8"/>
        <v>40.10263803050055</v>
      </c>
      <c r="P14" s="75">
        <f t="shared" si="9"/>
        <v>1.6695226085402786</v>
      </c>
      <c r="Q14" s="37">
        <f t="shared" si="10"/>
        <v>8.3476130427013934E-2</v>
      </c>
      <c r="R14" s="43">
        <f t="shared" si="11"/>
        <v>3.6669522608540279</v>
      </c>
      <c r="S14" s="76">
        <f t="shared" si="12"/>
        <v>0.80076875745091103</v>
      </c>
      <c r="T14">
        <v>155</v>
      </c>
      <c r="U14" s="44">
        <f t="shared" si="13"/>
        <v>193.5639952954856</v>
      </c>
      <c r="V14">
        <v>41.5</v>
      </c>
      <c r="W14" s="77">
        <f t="shared" si="14"/>
        <v>138.60615741214096</v>
      </c>
      <c r="X14">
        <f t="shared" si="15"/>
        <v>1.44</v>
      </c>
      <c r="Y14" s="47">
        <f t="shared" si="16"/>
        <v>2.2581421106062831</v>
      </c>
      <c r="Z14">
        <v>3.5</v>
      </c>
    </row>
    <row r="15" spans="1:26" ht="15" customHeight="1" thickBot="1">
      <c r="A15">
        <v>4</v>
      </c>
      <c r="B15" t="s">
        <v>167</v>
      </c>
      <c r="C15">
        <v>0.05</v>
      </c>
      <c r="D15">
        <v>15</v>
      </c>
      <c r="E15" s="37">
        <f t="shared" si="0"/>
        <v>4.0714285714285712</v>
      </c>
      <c r="F15">
        <v>30</v>
      </c>
      <c r="G15" s="71">
        <f t="shared" si="1"/>
        <v>1.4285714285714286</v>
      </c>
      <c r="H15" s="39">
        <f t="shared" si="2"/>
        <v>15</v>
      </c>
      <c r="I15">
        <v>15</v>
      </c>
      <c r="J15" s="71">
        <f t="shared" si="3"/>
        <v>7.1428571428571438E-2</v>
      </c>
      <c r="K15" s="71">
        <f t="shared" si="4"/>
        <v>4.1428571428571432</v>
      </c>
      <c r="L15" s="72">
        <f t="shared" si="5"/>
        <v>49.545176482511039</v>
      </c>
      <c r="M15" s="73">
        <f t="shared" si="6"/>
        <v>1.1727206533131602</v>
      </c>
      <c r="N15" s="73">
        <f t="shared" si="7"/>
        <v>0.64884829408407607</v>
      </c>
      <c r="O15" s="74">
        <f t="shared" si="8"/>
        <v>35.115170591592388</v>
      </c>
      <c r="P15" s="75">
        <f t="shared" si="9"/>
        <v>1.5411923081521157</v>
      </c>
      <c r="Q15" s="37">
        <f t="shared" si="10"/>
        <v>7.7059615407605794E-2</v>
      </c>
      <c r="R15" s="43">
        <f t="shared" si="11"/>
        <v>4.1541192308152119</v>
      </c>
      <c r="S15" s="76">
        <f t="shared" si="12"/>
        <v>0.7609177953394074</v>
      </c>
      <c r="T15">
        <v>156</v>
      </c>
      <c r="U15" s="44">
        <f t="shared" si="13"/>
        <v>205.01557586837117</v>
      </c>
      <c r="V15">
        <v>41.5</v>
      </c>
      <c r="W15" s="77">
        <f t="shared" si="14"/>
        <v>141.21153333474948</v>
      </c>
      <c r="X15">
        <f t="shared" si="15"/>
        <v>1.44</v>
      </c>
      <c r="Y15" s="47">
        <f t="shared" si="16"/>
        <v>2.1893886988873872</v>
      </c>
      <c r="Z15">
        <v>4</v>
      </c>
    </row>
    <row r="16" spans="1:26" ht="15" customHeight="1" thickBot="1">
      <c r="A16">
        <v>4.5</v>
      </c>
      <c r="B16" t="s">
        <v>167</v>
      </c>
      <c r="C16">
        <v>0.05</v>
      </c>
      <c r="D16">
        <v>15</v>
      </c>
      <c r="E16" s="37">
        <f t="shared" si="0"/>
        <v>4.5714285714285712</v>
      </c>
      <c r="F16">
        <v>30</v>
      </c>
      <c r="G16" s="71">
        <f t="shared" si="1"/>
        <v>1.4285714285714286</v>
      </c>
      <c r="H16" s="39">
        <f t="shared" si="2"/>
        <v>15.000000000000002</v>
      </c>
      <c r="I16">
        <v>15</v>
      </c>
      <c r="J16" s="71">
        <f t="shared" si="3"/>
        <v>7.1428571428571438E-2</v>
      </c>
      <c r="K16" s="71">
        <f t="shared" si="4"/>
        <v>4.6428571428571432</v>
      </c>
      <c r="L16" s="72">
        <f t="shared" si="5"/>
        <v>46.245635998249028</v>
      </c>
      <c r="M16" s="73">
        <f t="shared" si="6"/>
        <v>1.0444543318570334</v>
      </c>
      <c r="N16" s="73">
        <f t="shared" si="7"/>
        <v>0.69156808343875042</v>
      </c>
      <c r="O16" s="74">
        <f t="shared" si="8"/>
        <v>30.843191656124961</v>
      </c>
      <c r="P16" s="75">
        <f t="shared" si="9"/>
        <v>1.4459892293288088</v>
      </c>
      <c r="Q16" s="37">
        <f t="shared" si="10"/>
        <v>7.2299461466440437E-2</v>
      </c>
      <c r="R16" s="43">
        <f t="shared" si="11"/>
        <v>4.6445989229328806</v>
      </c>
      <c r="S16" s="76">
        <f t="shared" si="12"/>
        <v>0.72231128052166915</v>
      </c>
      <c r="T16">
        <v>157</v>
      </c>
      <c r="U16" s="44">
        <f t="shared" si="13"/>
        <v>217.35781266853695</v>
      </c>
      <c r="V16">
        <v>41.5</v>
      </c>
      <c r="W16" s="77">
        <f t="shared" si="14"/>
        <v>143.96676129710295</v>
      </c>
      <c r="X16">
        <f t="shared" si="15"/>
        <v>1.44</v>
      </c>
      <c r="Y16" s="47">
        <f t="shared" si="16"/>
        <v>2.1613590917572028</v>
      </c>
      <c r="Z16">
        <v>4.5</v>
      </c>
    </row>
    <row r="17" spans="1:26" ht="15" customHeight="1" thickBot="1">
      <c r="A17">
        <v>5</v>
      </c>
      <c r="B17" t="s">
        <v>167</v>
      </c>
      <c r="C17">
        <v>0.05</v>
      </c>
      <c r="D17">
        <v>20</v>
      </c>
      <c r="E17" s="37">
        <f t="shared" si="0"/>
        <v>5.0714285714285712</v>
      </c>
      <c r="F17">
        <v>30</v>
      </c>
      <c r="G17" s="71">
        <f t="shared" si="1"/>
        <v>1.4285714285714286</v>
      </c>
      <c r="H17" s="39">
        <f t="shared" si="2"/>
        <v>20</v>
      </c>
      <c r="I17">
        <v>20</v>
      </c>
      <c r="J17" s="71">
        <f t="shared" si="3"/>
        <v>7.1428571428571438E-2</v>
      </c>
      <c r="K17" s="71">
        <f t="shared" si="4"/>
        <v>5.1428571428571432</v>
      </c>
      <c r="L17" s="72">
        <f t="shared" si="5"/>
        <v>51.458538450160333</v>
      </c>
      <c r="M17" s="73">
        <f t="shared" si="6"/>
        <v>1.255306614814087</v>
      </c>
      <c r="N17" s="73">
        <f t="shared" si="7"/>
        <v>0.62308081258249592</v>
      </c>
      <c r="O17" s="74">
        <f t="shared" si="8"/>
        <v>37.691918741750406</v>
      </c>
      <c r="P17" s="75">
        <f t="shared" si="9"/>
        <v>1.604928252974569</v>
      </c>
      <c r="Q17" s="37">
        <f t="shared" si="10"/>
        <v>8.0246412648728449E-2</v>
      </c>
      <c r="R17" s="43">
        <f t="shared" si="11"/>
        <v>5.1604928252974567</v>
      </c>
      <c r="S17" s="76">
        <f t="shared" si="12"/>
        <v>0.78215746559854338</v>
      </c>
      <c r="T17">
        <v>158</v>
      </c>
      <c r="U17" s="44">
        <f t="shared" si="13"/>
        <v>202.00535946951683</v>
      </c>
      <c r="V17">
        <v>41.5</v>
      </c>
      <c r="W17" s="77">
        <f t="shared" si="14"/>
        <v>140.53135171775909</v>
      </c>
      <c r="X17">
        <f t="shared" si="15"/>
        <v>1.44</v>
      </c>
      <c r="Y17" s="47">
        <f t="shared" si="16"/>
        <v>2.9584086737954234</v>
      </c>
      <c r="Z17">
        <v>5</v>
      </c>
    </row>
    <row r="18" spans="1:26" ht="15" customHeight="1" thickBot="1">
      <c r="A18">
        <v>5.5</v>
      </c>
      <c r="B18" t="s">
        <v>167</v>
      </c>
      <c r="C18">
        <v>0.05</v>
      </c>
      <c r="D18">
        <v>20</v>
      </c>
      <c r="E18" s="37">
        <f t="shared" si="0"/>
        <v>5.5714285714285712</v>
      </c>
      <c r="F18">
        <v>30</v>
      </c>
      <c r="G18" s="71">
        <f t="shared" si="1"/>
        <v>1.4285714285714286</v>
      </c>
      <c r="H18" s="39">
        <f t="shared" si="2"/>
        <v>20</v>
      </c>
      <c r="I18">
        <v>20</v>
      </c>
      <c r="J18" s="71">
        <f t="shared" si="3"/>
        <v>7.1428571428571438E-2</v>
      </c>
      <c r="K18" s="71">
        <f t="shared" si="4"/>
        <v>5.6428571428571432</v>
      </c>
      <c r="L18" s="72">
        <f t="shared" si="5"/>
        <v>48.808950849714272</v>
      </c>
      <c r="M18" s="73">
        <f t="shared" si="6"/>
        <v>1.1426508929717971</v>
      </c>
      <c r="N18" s="73">
        <f t="shared" si="7"/>
        <v>0.65857191940641069</v>
      </c>
      <c r="O18" s="74">
        <f t="shared" si="8"/>
        <v>34.142808059358934</v>
      </c>
      <c r="P18" s="75">
        <f t="shared" si="9"/>
        <v>1.518437046179145</v>
      </c>
      <c r="Q18" s="37">
        <f t="shared" si="10"/>
        <v>7.5921852308957261E-2</v>
      </c>
      <c r="R18" s="43">
        <f t="shared" si="11"/>
        <v>5.6518437046179146</v>
      </c>
      <c r="S18" s="76">
        <f t="shared" si="12"/>
        <v>0.75251779179588585</v>
      </c>
      <c r="T18">
        <v>159</v>
      </c>
      <c r="U18" s="44">
        <f t="shared" si="13"/>
        <v>211.29068539435599</v>
      </c>
      <c r="V18">
        <v>41.5</v>
      </c>
      <c r="W18" s="77">
        <f t="shared" si="14"/>
        <v>142.61901357591478</v>
      </c>
      <c r="X18">
        <f t="shared" si="15"/>
        <v>1.44</v>
      </c>
      <c r="Y18" s="47">
        <f t="shared" si="16"/>
        <v>2.9065139036671797</v>
      </c>
      <c r="Z18">
        <v>5.5</v>
      </c>
    </row>
    <row r="19" spans="1:26" ht="15" customHeight="1" thickBot="1">
      <c r="A19">
        <v>6</v>
      </c>
      <c r="B19" t="s">
        <v>167</v>
      </c>
      <c r="C19">
        <v>0.05</v>
      </c>
      <c r="D19">
        <v>20</v>
      </c>
      <c r="E19" s="37">
        <f t="shared" si="0"/>
        <v>6.0714285714285712</v>
      </c>
      <c r="F19">
        <v>30</v>
      </c>
      <c r="G19" s="71">
        <f t="shared" si="1"/>
        <v>1.4285714285714286</v>
      </c>
      <c r="H19" s="39">
        <f t="shared" si="2"/>
        <v>20</v>
      </c>
      <c r="I19">
        <v>20</v>
      </c>
      <c r="J19" s="71">
        <f t="shared" si="3"/>
        <v>7.1428571428571438E-2</v>
      </c>
      <c r="K19" s="71">
        <f t="shared" si="4"/>
        <v>6.1428571428571432</v>
      </c>
      <c r="L19" s="72">
        <f t="shared" si="5"/>
        <v>46.357645168649888</v>
      </c>
      <c r="M19" s="73">
        <f t="shared" si="6"/>
        <v>1.0485502311976491</v>
      </c>
      <c r="N19" s="73">
        <f t="shared" si="7"/>
        <v>0.6901546957273611</v>
      </c>
      <c r="O19" s="74">
        <f t="shared" si="8"/>
        <v>30.984530427263891</v>
      </c>
      <c r="P19" s="75">
        <f t="shared" si="9"/>
        <v>1.4489505123863422</v>
      </c>
      <c r="Q19" s="37">
        <f t="shared" si="10"/>
        <v>7.244752561931711E-2</v>
      </c>
      <c r="R19" s="43">
        <f t="shared" si="11"/>
        <v>6.1448950512386347</v>
      </c>
      <c r="S19" s="76">
        <f t="shared" si="12"/>
        <v>0.7236618657670677</v>
      </c>
      <c r="T19">
        <v>160</v>
      </c>
      <c r="U19" s="44">
        <f t="shared" si="13"/>
        <v>221.09773579184397</v>
      </c>
      <c r="V19">
        <v>41.5</v>
      </c>
      <c r="W19" s="77">
        <f t="shared" si="14"/>
        <v>144.7912955366503</v>
      </c>
      <c r="X19">
        <f t="shared" si="15"/>
        <v>1.44</v>
      </c>
      <c r="Y19" s="47">
        <f t="shared" si="16"/>
        <v>2.8822591107820053</v>
      </c>
      <c r="Z19">
        <v>6</v>
      </c>
    </row>
    <row r="20" spans="1:26" ht="15" customHeight="1" thickBot="1">
      <c r="A20">
        <v>6.5</v>
      </c>
      <c r="B20" t="s">
        <v>167</v>
      </c>
      <c r="C20">
        <v>0.05</v>
      </c>
      <c r="D20">
        <v>25</v>
      </c>
      <c r="E20" s="37">
        <f t="shared" si="0"/>
        <v>6.5714285714285712</v>
      </c>
      <c r="F20">
        <v>30</v>
      </c>
      <c r="G20" s="71">
        <f t="shared" si="1"/>
        <v>1.4285714285714286</v>
      </c>
      <c r="H20" s="39">
        <f t="shared" si="2"/>
        <v>25.000000000000004</v>
      </c>
      <c r="I20">
        <v>25</v>
      </c>
      <c r="J20" s="71">
        <f t="shared" si="3"/>
        <v>7.1428571428571438E-2</v>
      </c>
      <c r="K20" s="71">
        <f t="shared" si="4"/>
        <v>6.6428571428571432</v>
      </c>
      <c r="L20" s="72">
        <f t="shared" si="5"/>
        <v>50.450445524511302</v>
      </c>
      <c r="M20" s="73">
        <f t="shared" si="6"/>
        <v>1.2109615441820676</v>
      </c>
      <c r="N20" s="73">
        <f t="shared" si="7"/>
        <v>0.63674536329893994</v>
      </c>
      <c r="O20" s="74">
        <f t="shared" si="8"/>
        <v>36.325463670106004</v>
      </c>
      <c r="P20" s="75">
        <f t="shared" si="9"/>
        <v>1.5704865047136884</v>
      </c>
      <c r="Q20" s="37">
        <f t="shared" si="10"/>
        <v>7.8524325235684422E-2</v>
      </c>
      <c r="R20" s="43">
        <f t="shared" si="11"/>
        <v>6.6570486504713688</v>
      </c>
      <c r="S20" s="76">
        <f t="shared" si="12"/>
        <v>0.77107414839125621</v>
      </c>
      <c r="T20">
        <v>161</v>
      </c>
      <c r="U20" s="44">
        <f t="shared" si="13"/>
        <v>208.79963403766695</v>
      </c>
      <c r="V20">
        <v>41.5</v>
      </c>
      <c r="W20" s="77">
        <f t="shared" si="14"/>
        <v>142.06195048603499</v>
      </c>
      <c r="X20">
        <f t="shared" si="15"/>
        <v>1.44</v>
      </c>
      <c r="Y20" s="47">
        <f t="shared" si="16"/>
        <v>3.6682510208661401</v>
      </c>
      <c r="Z20">
        <v>6.5</v>
      </c>
    </row>
    <row r="21" spans="1:26" ht="15" customHeight="1" thickBot="1">
      <c r="A21">
        <v>7</v>
      </c>
      <c r="B21" t="s">
        <v>167</v>
      </c>
      <c r="C21">
        <v>0.05</v>
      </c>
      <c r="D21">
        <v>25</v>
      </c>
      <c r="E21" s="37">
        <f t="shared" si="0"/>
        <v>7.0714285714285712</v>
      </c>
      <c r="F21">
        <v>30</v>
      </c>
      <c r="G21" s="71">
        <f t="shared" si="1"/>
        <v>1.4285714285714286</v>
      </c>
      <c r="H21" s="39">
        <f t="shared" si="2"/>
        <v>24.999999999999996</v>
      </c>
      <c r="I21">
        <v>25</v>
      </c>
      <c r="J21" s="71">
        <f t="shared" si="3"/>
        <v>7.1428571428571438E-2</v>
      </c>
      <c r="K21" s="71">
        <f t="shared" si="4"/>
        <v>7.1428571428571432</v>
      </c>
      <c r="L21" s="72">
        <f t="shared" si="5"/>
        <v>48.375007810741685</v>
      </c>
      <c r="M21" s="73">
        <f t="shared" si="6"/>
        <v>1.1253380006540425</v>
      </c>
      <c r="N21" s="73">
        <f t="shared" si="7"/>
        <v>0.6642523467743886</v>
      </c>
      <c r="O21" s="74">
        <f t="shared" si="8"/>
        <v>33.574765322561134</v>
      </c>
      <c r="P21" s="75">
        <f t="shared" si="9"/>
        <v>1.5054519639350963</v>
      </c>
      <c r="Q21" s="37">
        <f t="shared" si="10"/>
        <v>7.5272598196754817E-2</v>
      </c>
      <c r="R21" s="43">
        <f t="shared" si="11"/>
        <v>7.1505451963935096</v>
      </c>
      <c r="S21" s="76">
        <f t="shared" si="12"/>
        <v>0.74750840784884642</v>
      </c>
      <c r="T21">
        <v>162</v>
      </c>
      <c r="U21" s="44">
        <f t="shared" si="13"/>
        <v>216.71997036956137</v>
      </c>
      <c r="V21">
        <v>41.5</v>
      </c>
      <c r="W21" s="77">
        <f t="shared" si="14"/>
        <v>143.82566549738723</v>
      </c>
      <c r="X21">
        <f t="shared" si="15"/>
        <v>1.44</v>
      </c>
      <c r="Y21" s="47">
        <f t="shared" si="16"/>
        <v>3.6252597295874969</v>
      </c>
      <c r="Z21">
        <v>7</v>
      </c>
    </row>
    <row r="22" spans="1:26" ht="15" customHeight="1" thickBot="1">
      <c r="A22">
        <v>7.5</v>
      </c>
      <c r="B22" t="s">
        <v>167</v>
      </c>
      <c r="C22">
        <v>0.05</v>
      </c>
      <c r="D22">
        <v>25</v>
      </c>
      <c r="E22" s="37">
        <f t="shared" si="0"/>
        <v>7.5714285714285712</v>
      </c>
      <c r="F22">
        <v>30</v>
      </c>
      <c r="G22" s="71">
        <f t="shared" si="1"/>
        <v>1.4285714285714286</v>
      </c>
      <c r="H22" s="39">
        <f t="shared" si="2"/>
        <v>25</v>
      </c>
      <c r="I22">
        <v>25</v>
      </c>
      <c r="J22" s="71">
        <f t="shared" si="3"/>
        <v>7.1428571428571438E-2</v>
      </c>
      <c r="K22" s="71">
        <f t="shared" si="4"/>
        <v>7.6428571428571432</v>
      </c>
      <c r="L22" s="72">
        <f t="shared" si="5"/>
        <v>46.425051803650071</v>
      </c>
      <c r="M22" s="73">
        <f t="shared" si="6"/>
        <v>1.0510232270259454</v>
      </c>
      <c r="N22" s="73">
        <f t="shared" si="7"/>
        <v>0.68930285350082798</v>
      </c>
      <c r="O22" s="74">
        <f t="shared" si="8"/>
        <v>31.069714649917202</v>
      </c>
      <c r="P22" s="75">
        <f t="shared" si="9"/>
        <v>1.4507411291295327</v>
      </c>
      <c r="Q22" s="37">
        <f t="shared" si="10"/>
        <v>7.2537056456476637E-2</v>
      </c>
      <c r="R22" s="43">
        <f t="shared" si="11"/>
        <v>7.6450741129129529</v>
      </c>
      <c r="S22" s="76">
        <f t="shared" si="12"/>
        <v>0.72447330948463251</v>
      </c>
      <c r="T22">
        <v>163</v>
      </c>
      <c r="U22" s="44">
        <f t="shared" si="13"/>
        <v>224.99103537154883</v>
      </c>
      <c r="V22">
        <v>41.5</v>
      </c>
      <c r="W22" s="77">
        <f t="shared" si="14"/>
        <v>145.64468550767177</v>
      </c>
      <c r="X22">
        <f t="shared" si="15"/>
        <v>1.44</v>
      </c>
      <c r="Y22" s="47">
        <f t="shared" si="16"/>
        <v>3.6031587676529182</v>
      </c>
      <c r="Z22">
        <v>7.5</v>
      </c>
    </row>
    <row r="23" spans="1:26" ht="15" customHeight="1" thickBot="1">
      <c r="A23">
        <v>8</v>
      </c>
      <c r="B23" t="s">
        <v>167</v>
      </c>
      <c r="C23">
        <v>0.05</v>
      </c>
      <c r="D23">
        <v>25</v>
      </c>
      <c r="E23" s="37">
        <f t="shared" si="0"/>
        <v>8.0714285714285712</v>
      </c>
      <c r="F23">
        <v>30</v>
      </c>
      <c r="G23" s="71">
        <f t="shared" si="1"/>
        <v>1.4285714285714286</v>
      </c>
      <c r="H23" s="39">
        <f t="shared" si="2"/>
        <v>25</v>
      </c>
      <c r="I23">
        <v>25</v>
      </c>
      <c r="J23" s="71">
        <f t="shared" si="3"/>
        <v>7.1428571428571438E-2</v>
      </c>
      <c r="K23" s="71">
        <f t="shared" si="4"/>
        <v>8.1428571428571423</v>
      </c>
      <c r="L23" s="72">
        <f t="shared" si="5"/>
        <v>44.593657448360808</v>
      </c>
      <c r="M23" s="73">
        <f t="shared" si="6"/>
        <v>0.98591559349336477</v>
      </c>
      <c r="N23" s="73">
        <f t="shared" si="7"/>
        <v>0.7121037781751719</v>
      </c>
      <c r="O23" s="74">
        <f t="shared" si="8"/>
        <v>28.789622182482816</v>
      </c>
      <c r="P23" s="75">
        <f t="shared" si="9"/>
        <v>1.4042896985641438</v>
      </c>
      <c r="Q23" s="37">
        <f t="shared" si="10"/>
        <v>7.0214484928207185E-2</v>
      </c>
      <c r="R23" s="43">
        <f t="shared" si="11"/>
        <v>8.1404289698564138</v>
      </c>
      <c r="S23" s="76">
        <f t="shared" si="12"/>
        <v>0.70207421908844192</v>
      </c>
      <c r="T23">
        <v>164</v>
      </c>
      <c r="U23" s="44">
        <f t="shared" si="13"/>
        <v>233.59353689547819</v>
      </c>
      <c r="V23">
        <v>41.5</v>
      </c>
      <c r="W23" s="77">
        <f t="shared" si="14"/>
        <v>147.51280175688524</v>
      </c>
      <c r="X23">
        <f t="shared" si="15"/>
        <v>1.44</v>
      </c>
      <c r="Y23" s="47">
        <f t="shared" si="16"/>
        <v>3.5979957150272144</v>
      </c>
      <c r="Z23">
        <v>8</v>
      </c>
    </row>
    <row r="24" spans="1:26" ht="15" customHeight="1" thickBot="1">
      <c r="A24">
        <v>8.5</v>
      </c>
      <c r="B24" t="s">
        <v>167</v>
      </c>
      <c r="C24">
        <v>0.05</v>
      </c>
      <c r="D24">
        <v>30</v>
      </c>
      <c r="E24" s="37">
        <f t="shared" si="0"/>
        <v>8.5714285714285712</v>
      </c>
      <c r="F24">
        <v>30</v>
      </c>
      <c r="G24" s="71">
        <f t="shared" si="1"/>
        <v>1.4285714285714286</v>
      </c>
      <c r="H24" s="39">
        <f t="shared" si="2"/>
        <v>30</v>
      </c>
      <c r="I24">
        <v>30</v>
      </c>
      <c r="J24" s="71">
        <f t="shared" si="3"/>
        <v>7.1428571428571438E-2</v>
      </c>
      <c r="K24" s="71">
        <f t="shared" si="4"/>
        <v>8.6428571428571423</v>
      </c>
      <c r="L24" s="72">
        <f t="shared" si="5"/>
        <v>48.088918443500383</v>
      </c>
      <c r="M24" s="73">
        <f t="shared" si="6"/>
        <v>1.1140846206475021</v>
      </c>
      <c r="N24" s="73">
        <f t="shared" si="7"/>
        <v>0.66797651066730401</v>
      </c>
      <c r="O24" s="74">
        <f t="shared" si="8"/>
        <v>33.20234893326959</v>
      </c>
      <c r="P24" s="75">
        <f t="shared" si="9"/>
        <v>1.4970586301021374</v>
      </c>
      <c r="Q24" s="37">
        <f t="shared" si="10"/>
        <v>7.4852931505106871E-2</v>
      </c>
      <c r="R24" s="43">
        <f t="shared" si="11"/>
        <v>8.6497058630102135</v>
      </c>
      <c r="S24" s="76">
        <f t="shared" si="12"/>
        <v>0.74418235748822559</v>
      </c>
      <c r="T24">
        <v>165</v>
      </c>
      <c r="U24" s="44">
        <f t="shared" si="13"/>
        <v>221.71984909305058</v>
      </c>
      <c r="V24">
        <v>41.5</v>
      </c>
      <c r="W24" s="77">
        <f t="shared" si="14"/>
        <v>144.92799669724721</v>
      </c>
      <c r="X24">
        <f t="shared" si="15"/>
        <v>1.44</v>
      </c>
      <c r="Y24" s="47">
        <f t="shared" si="16"/>
        <v>4.3447665179988864</v>
      </c>
      <c r="Z24">
        <v>8.5</v>
      </c>
    </row>
    <row r="25" spans="1:26" ht="15" customHeight="1" thickBot="1">
      <c r="A25">
        <v>9</v>
      </c>
      <c r="B25" t="s">
        <v>167</v>
      </c>
      <c r="C25">
        <v>0.05</v>
      </c>
      <c r="D25">
        <v>30</v>
      </c>
      <c r="E25" s="37">
        <f t="shared" si="0"/>
        <v>9.0714285714285712</v>
      </c>
      <c r="F25">
        <v>30</v>
      </c>
      <c r="G25" s="71">
        <f t="shared" si="1"/>
        <v>1.4285714285714286</v>
      </c>
      <c r="H25" s="39">
        <f t="shared" si="2"/>
        <v>29.999999999999996</v>
      </c>
      <c r="I25">
        <v>30</v>
      </c>
      <c r="J25" s="71">
        <f t="shared" si="3"/>
        <v>7.1428571428571438E-2</v>
      </c>
      <c r="K25" s="71">
        <f t="shared" si="4"/>
        <v>9.1428571428571423</v>
      </c>
      <c r="L25" s="72">
        <f t="shared" si="5"/>
        <v>46.470073564031161</v>
      </c>
      <c r="M25" s="73">
        <f t="shared" si="6"/>
        <v>1.0526783817141752</v>
      </c>
      <c r="N25" s="73">
        <f t="shared" si="7"/>
        <v>0.68873336561052012</v>
      </c>
      <c r="O25" s="74">
        <f t="shared" si="8"/>
        <v>31.126663438947993</v>
      </c>
      <c r="P25" s="75">
        <f t="shared" si="9"/>
        <v>1.4519406927723923</v>
      </c>
      <c r="Q25" s="37">
        <f t="shared" si="10"/>
        <v>7.259703463861962E-2</v>
      </c>
      <c r="R25" s="43">
        <f t="shared" si="11"/>
        <v>9.14519406927724</v>
      </c>
      <c r="S25" s="76">
        <f t="shared" si="12"/>
        <v>0.72501472474343964</v>
      </c>
      <c r="T25">
        <v>166</v>
      </c>
      <c r="U25" s="44">
        <f t="shared" si="13"/>
        <v>228.96086704824137</v>
      </c>
      <c r="V25">
        <v>41.5</v>
      </c>
      <c r="W25" s="77">
        <f t="shared" si="14"/>
        <v>146.50973262816038</v>
      </c>
      <c r="X25">
        <f t="shared" si="15"/>
        <v>1.44</v>
      </c>
      <c r="Y25" s="47">
        <f t="shared" si="16"/>
        <v>4.3240580995320732</v>
      </c>
      <c r="Z25">
        <v>9</v>
      </c>
    </row>
    <row r="26" spans="1:26" ht="15" customHeight="1" thickBot="1">
      <c r="A26">
        <v>9.5</v>
      </c>
      <c r="B26" t="s">
        <v>167</v>
      </c>
      <c r="C26">
        <v>0.05</v>
      </c>
      <c r="D26">
        <v>30</v>
      </c>
      <c r="E26" s="37">
        <f t="shared" si="0"/>
        <v>9.5714285714285712</v>
      </c>
      <c r="F26">
        <v>30</v>
      </c>
      <c r="G26" s="71">
        <f t="shared" si="1"/>
        <v>1.4285714285714286</v>
      </c>
      <c r="H26" s="39">
        <f t="shared" si="2"/>
        <v>30</v>
      </c>
      <c r="I26">
        <v>30</v>
      </c>
      <c r="J26" s="71">
        <f t="shared" si="3"/>
        <v>7.1428571428571438E-2</v>
      </c>
      <c r="K26" s="71">
        <f t="shared" si="4"/>
        <v>9.6428571428571423</v>
      </c>
      <c r="L26" s="72">
        <f t="shared" si="5"/>
        <v>44.933682179478971</v>
      </c>
      <c r="M26" s="73">
        <f t="shared" si="6"/>
        <v>0.99768771998283778</v>
      </c>
      <c r="N26" s="73">
        <f t="shared" si="7"/>
        <v>0.70792476765876677</v>
      </c>
      <c r="O26" s="74">
        <f t="shared" si="8"/>
        <v>29.207523234123322</v>
      </c>
      <c r="P26" s="75">
        <f t="shared" si="9"/>
        <v>1.412579479747796</v>
      </c>
      <c r="Q26" s="37">
        <f t="shared" si="10"/>
        <v>7.0628973987389806E-2</v>
      </c>
      <c r="R26" s="43">
        <f t="shared" si="11"/>
        <v>9.6412579479747791</v>
      </c>
      <c r="S26" s="76">
        <f t="shared" si="12"/>
        <v>0.70628784736485528</v>
      </c>
      <c r="T26">
        <v>167</v>
      </c>
      <c r="U26" s="44">
        <f t="shared" si="13"/>
        <v>236.44750596102338</v>
      </c>
      <c r="V26">
        <v>41.5</v>
      </c>
      <c r="W26" s="77">
        <f t="shared" si="14"/>
        <v>148.12736411261275</v>
      </c>
      <c r="X26">
        <f t="shared" si="15"/>
        <v>1.44</v>
      </c>
      <c r="Y26" s="47">
        <f t="shared" si="16"/>
        <v>4.3174608764474902</v>
      </c>
      <c r="Z26">
        <v>9.5</v>
      </c>
    </row>
    <row r="27" spans="1:26" ht="15" customHeight="1" thickBot="1">
      <c r="A27">
        <v>10</v>
      </c>
      <c r="B27" t="s">
        <v>167</v>
      </c>
      <c r="C27">
        <v>0.05</v>
      </c>
      <c r="D27">
        <v>35</v>
      </c>
      <c r="E27" s="37">
        <f t="shared" si="0"/>
        <v>10.071428571428571</v>
      </c>
      <c r="F27">
        <v>30</v>
      </c>
      <c r="G27" s="71">
        <f t="shared" si="1"/>
        <v>1.4285714285714286</v>
      </c>
      <c r="H27" s="39">
        <f t="shared" si="2"/>
        <v>35</v>
      </c>
      <c r="I27">
        <v>35</v>
      </c>
      <c r="J27" s="71">
        <f t="shared" si="3"/>
        <v>7.1428571428571438E-2</v>
      </c>
      <c r="K27" s="71">
        <f t="shared" si="4"/>
        <v>10.142857142857142</v>
      </c>
      <c r="L27" s="72">
        <f t="shared" si="5"/>
        <v>47.886126164135874</v>
      </c>
      <c r="M27" s="73">
        <f t="shared" si="6"/>
        <v>1.1061833112812078</v>
      </c>
      <c r="N27" s="73">
        <f t="shared" si="7"/>
        <v>0.67060627496193259</v>
      </c>
      <c r="O27" s="74">
        <f t="shared" si="8"/>
        <v>32.939372503806737</v>
      </c>
      <c r="P27" s="75">
        <f t="shared" si="9"/>
        <v>1.4911879553420009</v>
      </c>
      <c r="Q27" s="37">
        <f t="shared" si="10"/>
        <v>7.455939776710005E-2</v>
      </c>
      <c r="R27" s="43">
        <f t="shared" si="11"/>
        <v>10.1491187955342</v>
      </c>
      <c r="S27" s="76">
        <f t="shared" si="12"/>
        <v>0.74181346980334673</v>
      </c>
      <c r="T27">
        <v>168</v>
      </c>
      <c r="U27" s="44">
        <f t="shared" si="13"/>
        <v>226.47202678125603</v>
      </c>
      <c r="V27">
        <v>41.5</v>
      </c>
      <c r="W27" s="77">
        <f t="shared" si="14"/>
        <v>145.96800080719581</v>
      </c>
      <c r="X27">
        <f t="shared" si="15"/>
        <v>1.44</v>
      </c>
      <c r="Y27" s="47">
        <f t="shared" si="16"/>
        <v>5.0646913098915487</v>
      </c>
      <c r="Z27">
        <v>10</v>
      </c>
    </row>
    <row r="28" spans="1:26" ht="15" customHeight="1" thickBot="1">
      <c r="A28">
        <v>10.5</v>
      </c>
      <c r="B28" t="s">
        <v>167</v>
      </c>
      <c r="C28">
        <v>0.05</v>
      </c>
      <c r="D28">
        <v>35</v>
      </c>
      <c r="E28" s="37">
        <f t="shared" si="0"/>
        <v>10.571428571428571</v>
      </c>
      <c r="F28">
        <v>30</v>
      </c>
      <c r="G28" s="71">
        <f t="shared" si="1"/>
        <v>1.4285714285714286</v>
      </c>
      <c r="H28" s="39">
        <f t="shared" si="2"/>
        <v>35</v>
      </c>
      <c r="I28">
        <v>35</v>
      </c>
      <c r="J28" s="71">
        <f t="shared" si="3"/>
        <v>7.1428571428571438E-2</v>
      </c>
      <c r="K28" s="71">
        <f t="shared" si="4"/>
        <v>10.642857142857142</v>
      </c>
      <c r="L28" s="72">
        <f t="shared" si="5"/>
        <v>46.502273171405719</v>
      </c>
      <c r="M28" s="73">
        <f t="shared" si="6"/>
        <v>1.0538638303422316</v>
      </c>
      <c r="N28" s="73">
        <f t="shared" si="7"/>
        <v>0.68832580645608277</v>
      </c>
      <c r="O28" s="74">
        <f t="shared" si="8"/>
        <v>31.167419354391722</v>
      </c>
      <c r="P28" s="75">
        <f t="shared" si="9"/>
        <v>1.4528003899034447</v>
      </c>
      <c r="Q28" s="37">
        <f t="shared" si="10"/>
        <v>7.2640019495172237E-2</v>
      </c>
      <c r="R28" s="43">
        <f t="shared" si="11"/>
        <v>10.645280038990345</v>
      </c>
      <c r="S28" s="76">
        <f t="shared" si="12"/>
        <v>0.72540167091521313</v>
      </c>
      <c r="T28">
        <v>169</v>
      </c>
      <c r="U28" s="44">
        <f t="shared" si="13"/>
        <v>232.97437375182608</v>
      </c>
      <c r="V28">
        <v>41.5</v>
      </c>
      <c r="W28" s="77">
        <f t="shared" si="14"/>
        <v>147.37913533311533</v>
      </c>
      <c r="X28">
        <f t="shared" si="15"/>
        <v>1.44</v>
      </c>
      <c r="Y28" s="47">
        <f t="shared" si="16"/>
        <v>5.0449571916488294</v>
      </c>
      <c r="Z28">
        <v>10.5</v>
      </c>
    </row>
    <row r="29" spans="1:26" ht="15" customHeight="1" thickBot="1">
      <c r="A29">
        <v>11</v>
      </c>
      <c r="B29" t="s">
        <v>167</v>
      </c>
      <c r="C29">
        <v>0.05</v>
      </c>
      <c r="D29">
        <v>35</v>
      </c>
      <c r="E29" s="37">
        <f t="shared" si="0"/>
        <v>11.071428571428571</v>
      </c>
      <c r="F29">
        <v>30</v>
      </c>
      <c r="G29" s="71">
        <f t="shared" si="1"/>
        <v>1.4285714285714286</v>
      </c>
      <c r="H29" s="39">
        <f t="shared" si="2"/>
        <v>35</v>
      </c>
      <c r="I29">
        <v>35</v>
      </c>
      <c r="J29" s="71">
        <f t="shared" si="3"/>
        <v>7.1428571428571438E-2</v>
      </c>
      <c r="K29" s="71">
        <f t="shared" si="4"/>
        <v>11.142857142857142</v>
      </c>
      <c r="L29" s="72">
        <f t="shared" si="5"/>
        <v>45.17906052943696</v>
      </c>
      <c r="M29" s="73">
        <f t="shared" si="6"/>
        <v>1.0062699799396795</v>
      </c>
      <c r="N29" s="73">
        <f t="shared" si="7"/>
        <v>0.70489349408282465</v>
      </c>
      <c r="O29" s="74">
        <f t="shared" si="8"/>
        <v>29.510650591717535</v>
      </c>
      <c r="P29" s="75">
        <f t="shared" si="9"/>
        <v>1.4186540355307926</v>
      </c>
      <c r="Q29" s="37">
        <f t="shared" si="10"/>
        <v>7.0932701776539639E-2</v>
      </c>
      <c r="R29" s="43">
        <f t="shared" si="11"/>
        <v>11.14186540355308</v>
      </c>
      <c r="S29" s="76">
        <f t="shared" si="12"/>
        <v>0.70931316215033458</v>
      </c>
      <c r="T29">
        <v>170</v>
      </c>
      <c r="U29" s="44">
        <f t="shared" si="13"/>
        <v>239.66846954402001</v>
      </c>
      <c r="V29">
        <v>41.5</v>
      </c>
      <c r="W29" s="77">
        <f t="shared" si="14"/>
        <v>148.81790521556721</v>
      </c>
      <c r="X29">
        <f t="shared" si="15"/>
        <v>1.44</v>
      </c>
      <c r="Y29" s="47">
        <f t="shared" si="16"/>
        <v>5.0373177987655797</v>
      </c>
      <c r="Z29">
        <v>11</v>
      </c>
    </row>
    <row r="30" spans="1:26" ht="15" customHeight="1" thickBot="1">
      <c r="A30">
        <v>11.5</v>
      </c>
      <c r="B30" t="s">
        <v>167</v>
      </c>
      <c r="C30">
        <v>0.05</v>
      </c>
      <c r="D30">
        <v>35</v>
      </c>
      <c r="E30" s="37">
        <f t="shared" si="0"/>
        <v>11.571428571428571</v>
      </c>
      <c r="F30">
        <v>30</v>
      </c>
      <c r="G30" s="71">
        <f t="shared" si="1"/>
        <v>1.4285714285714286</v>
      </c>
      <c r="H30" s="39">
        <f t="shared" si="2"/>
        <v>35</v>
      </c>
      <c r="I30">
        <v>35</v>
      </c>
      <c r="J30" s="71">
        <f t="shared" si="3"/>
        <v>7.1428571428571438E-2</v>
      </c>
      <c r="K30" s="71">
        <f t="shared" si="4"/>
        <v>11.642857142857142</v>
      </c>
      <c r="L30" s="72">
        <f t="shared" si="5"/>
        <v>43.913909747574472</v>
      </c>
      <c r="M30" s="73">
        <f t="shared" si="6"/>
        <v>0.96278917833734767</v>
      </c>
      <c r="N30" s="73">
        <f t="shared" si="7"/>
        <v>0.72038276173479454</v>
      </c>
      <c r="O30" s="74">
        <f t="shared" si="8"/>
        <v>27.961723826520547</v>
      </c>
      <c r="P30" s="75">
        <f t="shared" si="9"/>
        <v>1.3881509290864251</v>
      </c>
      <c r="Q30" s="37">
        <f t="shared" si="10"/>
        <v>6.9407546454321262E-2</v>
      </c>
      <c r="R30" s="43">
        <f t="shared" si="11"/>
        <v>11.638815092908642</v>
      </c>
      <c r="S30" s="76">
        <f t="shared" si="12"/>
        <v>0.69357672725903241</v>
      </c>
      <c r="T30">
        <v>171</v>
      </c>
      <c r="U30" s="44">
        <f t="shared" si="13"/>
        <v>246.54806494990143</v>
      </c>
      <c r="V30">
        <v>41.5</v>
      </c>
      <c r="W30" s="77">
        <f t="shared" si="14"/>
        <v>150.28219311131912</v>
      </c>
      <c r="X30">
        <f t="shared" si="15"/>
        <v>1.44</v>
      </c>
      <c r="Y30" s="47">
        <f t="shared" si="16"/>
        <v>5.0401868925631037</v>
      </c>
      <c r="Z30">
        <v>11.5</v>
      </c>
    </row>
    <row r="31" spans="1:26" ht="15" customHeight="1" thickBot="1">
      <c r="A31">
        <v>12</v>
      </c>
      <c r="B31" t="s">
        <v>167</v>
      </c>
      <c r="C31">
        <v>0.05</v>
      </c>
      <c r="D31">
        <v>40</v>
      </c>
      <c r="E31" s="37">
        <f t="shared" si="0"/>
        <v>12.071428571428571</v>
      </c>
      <c r="F31">
        <v>30</v>
      </c>
      <c r="G31" s="71">
        <f t="shared" si="1"/>
        <v>1.4285714285714286</v>
      </c>
      <c r="H31" s="39">
        <f t="shared" si="2"/>
        <v>40</v>
      </c>
      <c r="I31">
        <v>40</v>
      </c>
      <c r="J31" s="71">
        <f t="shared" si="3"/>
        <v>7.1428571428571438E-2</v>
      </c>
      <c r="K31" s="71">
        <f t="shared" si="4"/>
        <v>12.142857142857142</v>
      </c>
      <c r="L31" s="72">
        <f t="shared" si="5"/>
        <v>46.526445435956816</v>
      </c>
      <c r="M31" s="73">
        <f t="shared" si="6"/>
        <v>1.0547546704355049</v>
      </c>
      <c r="N31" s="73">
        <f t="shared" si="7"/>
        <v>0.68801970869156825</v>
      </c>
      <c r="O31" s="74">
        <f t="shared" si="8"/>
        <v>31.198029130843175</v>
      </c>
      <c r="P31" s="75">
        <f t="shared" si="9"/>
        <v>1.453446736143265</v>
      </c>
      <c r="Q31" s="37">
        <f t="shared" si="10"/>
        <v>7.2672336807163257E-2</v>
      </c>
      <c r="R31" s="43">
        <f t="shared" si="11"/>
        <v>12.145344673614327</v>
      </c>
      <c r="S31" s="76">
        <f t="shared" si="12"/>
        <v>0.72569200109410714</v>
      </c>
      <c r="T31">
        <v>172</v>
      </c>
      <c r="U31" s="44">
        <f t="shared" si="13"/>
        <v>237.01515207647324</v>
      </c>
      <c r="V31">
        <v>41.5</v>
      </c>
      <c r="W31" s="77">
        <f t="shared" si="14"/>
        <v>148.24929501905666</v>
      </c>
      <c r="X31">
        <f t="shared" si="15"/>
        <v>1.44</v>
      </c>
      <c r="Y31" s="47">
        <f t="shared" si="16"/>
        <v>5.7658561099193255</v>
      </c>
      <c r="Z31">
        <v>12</v>
      </c>
    </row>
    <row r="32" spans="1:26" ht="15" customHeight="1" thickBot="1">
      <c r="A32">
        <v>12.5</v>
      </c>
      <c r="B32" t="s">
        <v>167</v>
      </c>
      <c r="C32">
        <v>0.05</v>
      </c>
      <c r="D32">
        <v>40</v>
      </c>
      <c r="E32" s="37">
        <f t="shared" si="0"/>
        <v>12.571428571428571</v>
      </c>
      <c r="F32">
        <v>30</v>
      </c>
      <c r="G32" s="71">
        <f t="shared" si="1"/>
        <v>1.4285714285714286</v>
      </c>
      <c r="H32" s="39">
        <f t="shared" si="2"/>
        <v>40</v>
      </c>
      <c r="I32">
        <v>40</v>
      </c>
      <c r="J32" s="71">
        <f t="shared" si="3"/>
        <v>7.1428571428571438E-2</v>
      </c>
      <c r="K32" s="71">
        <f t="shared" si="4"/>
        <v>12.642857142857142</v>
      </c>
      <c r="L32" s="72">
        <f t="shared" si="5"/>
        <v>45.364475747547274</v>
      </c>
      <c r="M32" s="73">
        <f t="shared" si="6"/>
        <v>1.0128042005886384</v>
      </c>
      <c r="N32" s="73">
        <f t="shared" si="7"/>
        <v>0.70259439456684691</v>
      </c>
      <c r="O32" s="74">
        <f t="shared" si="8"/>
        <v>29.740560543315304</v>
      </c>
      <c r="P32" s="75">
        <f t="shared" si="9"/>
        <v>1.4232962968862071</v>
      </c>
      <c r="Q32" s="37">
        <f t="shared" si="10"/>
        <v>7.1164814844310351E-2</v>
      </c>
      <c r="R32" s="43">
        <f t="shared" si="11"/>
        <v>12.642329629688621</v>
      </c>
      <c r="S32" s="76">
        <f t="shared" si="12"/>
        <v>0.71159055412733374</v>
      </c>
      <c r="T32">
        <v>173</v>
      </c>
      <c r="U32" s="44">
        <f t="shared" si="13"/>
        <v>243.11733622175507</v>
      </c>
      <c r="V32">
        <v>41.5</v>
      </c>
      <c r="W32" s="77">
        <f t="shared" si="14"/>
        <v>149.55377156202195</v>
      </c>
      <c r="X32">
        <f t="shared" si="15"/>
        <v>1.44</v>
      </c>
      <c r="Y32" s="47">
        <f t="shared" si="16"/>
        <v>5.7574251899978659</v>
      </c>
      <c r="Z32">
        <v>12.5</v>
      </c>
    </row>
    <row r="33" spans="1:26" ht="15" customHeight="1" thickBot="1">
      <c r="A33">
        <v>13</v>
      </c>
      <c r="B33" t="s">
        <v>167</v>
      </c>
      <c r="C33">
        <v>0.05</v>
      </c>
      <c r="D33">
        <v>40</v>
      </c>
      <c r="E33" s="37">
        <f t="shared" si="0"/>
        <v>13.071428571428571</v>
      </c>
      <c r="F33">
        <v>30</v>
      </c>
      <c r="G33" s="71">
        <f t="shared" si="1"/>
        <v>1.4285714285714286</v>
      </c>
      <c r="H33" s="39">
        <f t="shared" si="2"/>
        <v>40</v>
      </c>
      <c r="I33">
        <v>40</v>
      </c>
      <c r="J33" s="71">
        <f t="shared" si="3"/>
        <v>7.1428571428571438E-2</v>
      </c>
      <c r="K33" s="71">
        <f t="shared" si="4"/>
        <v>13.142857142857142</v>
      </c>
      <c r="L33" s="72">
        <f t="shared" si="5"/>
        <v>44.247242681693216</v>
      </c>
      <c r="M33" s="73">
        <f t="shared" si="6"/>
        <v>0.97406305630382706</v>
      </c>
      <c r="N33" s="73">
        <f t="shared" si="7"/>
        <v>0.71633553245250658</v>
      </c>
      <c r="O33" s="74">
        <f t="shared" si="8"/>
        <v>28.36644675474934</v>
      </c>
      <c r="P33" s="75">
        <f t="shared" si="9"/>
        <v>1.395993853015103</v>
      </c>
      <c r="Q33" s="37">
        <f t="shared" si="10"/>
        <v>6.9799692650755155E-2</v>
      </c>
      <c r="R33" s="43">
        <f t="shared" si="11"/>
        <v>13.13959938530151</v>
      </c>
      <c r="S33" s="76">
        <f t="shared" si="12"/>
        <v>0.69775597807971801</v>
      </c>
      <c r="T33">
        <v>174</v>
      </c>
      <c r="U33" s="44">
        <f t="shared" si="13"/>
        <v>249.37084807049931</v>
      </c>
      <c r="V33">
        <v>41.5</v>
      </c>
      <c r="W33" s="77">
        <f t="shared" si="14"/>
        <v>150.87889688150904</v>
      </c>
      <c r="X33">
        <f t="shared" si="15"/>
        <v>1.44</v>
      </c>
      <c r="Y33" s="47">
        <f t="shared" si="16"/>
        <v>5.7583503944080228</v>
      </c>
      <c r="Z33">
        <v>13</v>
      </c>
    </row>
    <row r="34" spans="1:26" ht="15" customHeight="1" thickBot="1">
      <c r="A34">
        <v>13.5</v>
      </c>
      <c r="B34" t="s">
        <v>167</v>
      </c>
      <c r="C34">
        <v>0.05</v>
      </c>
      <c r="D34">
        <v>45</v>
      </c>
      <c r="E34" s="37">
        <f t="shared" si="0"/>
        <v>13.571428571428571</v>
      </c>
      <c r="F34">
        <v>30</v>
      </c>
      <c r="G34" s="71">
        <f t="shared" si="1"/>
        <v>1.4285714285714286</v>
      </c>
      <c r="H34" s="39">
        <f t="shared" si="2"/>
        <v>45</v>
      </c>
      <c r="I34">
        <v>45</v>
      </c>
      <c r="J34" s="71">
        <f t="shared" si="3"/>
        <v>7.1428571428571438E-2</v>
      </c>
      <c r="K34" s="71">
        <f t="shared" si="4"/>
        <v>13.642857142857142</v>
      </c>
      <c r="L34" s="72">
        <f t="shared" si="5"/>
        <v>46.545259464952807</v>
      </c>
      <c r="M34" s="73">
        <f t="shared" si="6"/>
        <v>1.055448587981844</v>
      </c>
      <c r="N34" s="73">
        <f t="shared" si="7"/>
        <v>0.68778137848212761</v>
      </c>
      <c r="O34" s="74">
        <f t="shared" si="8"/>
        <v>31.221862151787239</v>
      </c>
      <c r="P34" s="75">
        <f t="shared" si="9"/>
        <v>1.4539503849419579</v>
      </c>
      <c r="Q34" s="37">
        <f t="shared" si="10"/>
        <v>7.26975192470979E-2</v>
      </c>
      <c r="R34" s="43">
        <f t="shared" si="11"/>
        <v>13.645395038494195</v>
      </c>
      <c r="S34" s="76">
        <f t="shared" si="12"/>
        <v>0.72591788475916774</v>
      </c>
      <c r="T34">
        <v>175</v>
      </c>
      <c r="U34" s="44">
        <f t="shared" si="13"/>
        <v>241.07409897754263</v>
      </c>
      <c r="V34">
        <v>41.5</v>
      </c>
      <c r="W34" s="77">
        <f t="shared" si="14"/>
        <v>149.1182552985255</v>
      </c>
      <c r="X34">
        <f t="shared" si="15"/>
        <v>1.44</v>
      </c>
      <c r="Y34" s="47">
        <f t="shared" si="16"/>
        <v>6.4867549003198768</v>
      </c>
      <c r="Z34">
        <v>13.5</v>
      </c>
    </row>
    <row r="35" spans="1:26" ht="15" customHeight="1" thickBot="1">
      <c r="A35">
        <v>14</v>
      </c>
      <c r="B35" t="s">
        <v>167</v>
      </c>
      <c r="C35">
        <v>0.05</v>
      </c>
      <c r="D35">
        <v>45</v>
      </c>
      <c r="E35" s="37">
        <f t="shared" si="0"/>
        <v>14.071428571428571</v>
      </c>
      <c r="F35">
        <v>30</v>
      </c>
      <c r="G35" s="71">
        <f t="shared" si="1"/>
        <v>1.4285714285714286</v>
      </c>
      <c r="H35" s="39">
        <f t="shared" si="2"/>
        <v>44.999999999999993</v>
      </c>
      <c r="I35">
        <v>45</v>
      </c>
      <c r="J35" s="71">
        <f t="shared" si="3"/>
        <v>7.1428571428571438E-2</v>
      </c>
      <c r="K35" s="71">
        <f t="shared" si="4"/>
        <v>14.142857142857142</v>
      </c>
      <c r="L35" s="72">
        <f t="shared" si="5"/>
        <v>45.509511636009272</v>
      </c>
      <c r="M35" s="73">
        <f t="shared" si="6"/>
        <v>1.0179453386626922</v>
      </c>
      <c r="N35" s="73">
        <f t="shared" si="7"/>
        <v>0.70079085805309693</v>
      </c>
      <c r="O35" s="74">
        <f t="shared" si="8"/>
        <v>29.920914194690308</v>
      </c>
      <c r="P35" s="75">
        <f t="shared" si="9"/>
        <v>1.4269592539750753</v>
      </c>
      <c r="Q35" s="37">
        <f t="shared" si="10"/>
        <v>7.1347962698753764E-2</v>
      </c>
      <c r="R35" s="43">
        <f t="shared" si="11"/>
        <v>14.142695925397508</v>
      </c>
      <c r="S35" s="76">
        <f t="shared" si="12"/>
        <v>0.71336678733257841</v>
      </c>
      <c r="T35">
        <v>176</v>
      </c>
      <c r="U35" s="44">
        <f t="shared" si="13"/>
        <v>246.71740137790732</v>
      </c>
      <c r="V35">
        <v>41.5</v>
      </c>
      <c r="W35" s="77">
        <f t="shared" si="14"/>
        <v>150.31805566317297</v>
      </c>
      <c r="X35">
        <f t="shared" si="15"/>
        <v>1.44</v>
      </c>
      <c r="Y35" s="47">
        <f t="shared" si="16"/>
        <v>6.4777023990512754</v>
      </c>
      <c r="Z35">
        <v>14</v>
      </c>
    </row>
    <row r="36" spans="1:26" ht="15" customHeight="1" thickBot="1">
      <c r="A36">
        <v>14.5</v>
      </c>
      <c r="B36" t="s">
        <v>167</v>
      </c>
      <c r="C36">
        <v>0.05</v>
      </c>
      <c r="D36">
        <v>45</v>
      </c>
      <c r="E36" s="37">
        <f t="shared" si="0"/>
        <v>14.571428571428571</v>
      </c>
      <c r="F36">
        <v>30</v>
      </c>
      <c r="G36" s="71">
        <f t="shared" si="1"/>
        <v>1.4285714285714286</v>
      </c>
      <c r="H36" s="39">
        <f t="shared" si="2"/>
        <v>45</v>
      </c>
      <c r="I36">
        <v>45</v>
      </c>
      <c r="J36" s="71">
        <f t="shared" si="3"/>
        <v>7.1428571428571438E-2</v>
      </c>
      <c r="K36" s="71">
        <f t="shared" si="4"/>
        <v>14.642857142857142</v>
      </c>
      <c r="L36" s="72">
        <f t="shared" si="5"/>
        <v>44.509285167244009</v>
      </c>
      <c r="M36" s="73">
        <f t="shared" si="6"/>
        <v>0.9830158417477961</v>
      </c>
      <c r="N36" s="73">
        <f t="shared" si="7"/>
        <v>0.71313686200796356</v>
      </c>
      <c r="O36" s="74">
        <f t="shared" si="8"/>
        <v>28.686313799203649</v>
      </c>
      <c r="P36" s="75">
        <f t="shared" si="9"/>
        <v>1.4022553779990032</v>
      </c>
      <c r="Q36" s="37">
        <f t="shared" si="10"/>
        <v>7.0112768899950162E-2</v>
      </c>
      <c r="R36" s="43">
        <f t="shared" si="11"/>
        <v>14.6402255377999</v>
      </c>
      <c r="S36" s="76">
        <f t="shared" si="12"/>
        <v>0.70102483268814009</v>
      </c>
      <c r="T36">
        <v>177</v>
      </c>
      <c r="U36" s="44">
        <f t="shared" si="13"/>
        <v>252.48748938219245</v>
      </c>
      <c r="V36">
        <v>41.5</v>
      </c>
      <c r="W36" s="77">
        <f t="shared" si="14"/>
        <v>151.53498960901973</v>
      </c>
      <c r="X36">
        <f t="shared" si="15"/>
        <v>1.44</v>
      </c>
      <c r="Y36" s="47">
        <f t="shared" si="16"/>
        <v>6.4770803739635454</v>
      </c>
      <c r="Z36">
        <v>14.5</v>
      </c>
    </row>
    <row r="37" spans="1:26" ht="15" customHeight="1" thickBot="1">
      <c r="A37">
        <v>15</v>
      </c>
      <c r="B37" t="s">
        <v>167</v>
      </c>
      <c r="C37">
        <v>0.05</v>
      </c>
      <c r="D37">
        <v>50</v>
      </c>
      <c r="E37" s="37">
        <f t="shared" si="0"/>
        <v>15.071428571428571</v>
      </c>
      <c r="F37">
        <v>30</v>
      </c>
      <c r="G37" s="71">
        <f t="shared" si="1"/>
        <v>1.4285714285714286</v>
      </c>
      <c r="H37" s="39">
        <f t="shared" si="2"/>
        <v>50</v>
      </c>
      <c r="I37">
        <v>50</v>
      </c>
      <c r="J37" s="71">
        <f t="shared" si="3"/>
        <v>7.1428571428571438E-2</v>
      </c>
      <c r="K37" s="71">
        <f t="shared" si="4"/>
        <v>15.142857142857142</v>
      </c>
      <c r="L37" s="72">
        <f t="shared" si="5"/>
        <v>46.560319121879608</v>
      </c>
      <c r="M37" s="73">
        <f t="shared" si="6"/>
        <v>1.0560043797606655</v>
      </c>
      <c r="N37" s="73">
        <f t="shared" si="7"/>
        <v>0.68759055403919622</v>
      </c>
      <c r="O37" s="74">
        <f t="shared" si="8"/>
        <v>31.240944596080382</v>
      </c>
      <c r="P37" s="75">
        <f t="shared" si="9"/>
        <v>1.4543538943715548</v>
      </c>
      <c r="Q37" s="37">
        <f t="shared" si="10"/>
        <v>7.2717694718577738E-2</v>
      </c>
      <c r="R37" s="43">
        <f t="shared" si="11"/>
        <v>15.145435389437155</v>
      </c>
      <c r="S37" s="76">
        <f t="shared" si="12"/>
        <v>0.72609863654745366</v>
      </c>
      <c r="T37">
        <v>178</v>
      </c>
      <c r="U37" s="44">
        <f t="shared" si="13"/>
        <v>245.14575711968982</v>
      </c>
      <c r="V37">
        <v>41.5</v>
      </c>
      <c r="W37" s="77">
        <f t="shared" si="14"/>
        <v>149.98487882336372</v>
      </c>
      <c r="X37">
        <f t="shared" si="15"/>
        <v>1.44</v>
      </c>
      <c r="Y37" s="47">
        <f t="shared" si="16"/>
        <v>7.2076535946960343</v>
      </c>
      <c r="Z37">
        <v>15</v>
      </c>
    </row>
    <row r="38" spans="1:26" ht="15" customHeight="1" thickBot="1">
      <c r="A38">
        <v>15.5</v>
      </c>
      <c r="B38" t="s">
        <v>167</v>
      </c>
      <c r="C38">
        <v>0.05</v>
      </c>
      <c r="D38">
        <v>50</v>
      </c>
      <c r="E38" s="37">
        <f t="shared" si="0"/>
        <v>15.571428571428571</v>
      </c>
      <c r="F38">
        <v>30</v>
      </c>
      <c r="G38" s="71">
        <f t="shared" si="1"/>
        <v>1.4285714285714286</v>
      </c>
      <c r="H38" s="39">
        <f t="shared" si="2"/>
        <v>50</v>
      </c>
      <c r="I38">
        <v>50</v>
      </c>
      <c r="J38" s="71">
        <f t="shared" si="3"/>
        <v>7.1428571428571438E-2</v>
      </c>
      <c r="K38" s="71">
        <f t="shared" si="4"/>
        <v>15.642857142857142</v>
      </c>
      <c r="L38" s="72">
        <f t="shared" si="5"/>
        <v>45.626062128671023</v>
      </c>
      <c r="M38" s="73">
        <f t="shared" si="6"/>
        <v>1.0220959822454148</v>
      </c>
      <c r="N38" s="73">
        <f t="shared" si="7"/>
        <v>0.69933828569576006</v>
      </c>
      <c r="O38" s="74">
        <f t="shared" si="8"/>
        <v>30.066171430423992</v>
      </c>
      <c r="P38" s="75">
        <f t="shared" si="9"/>
        <v>1.429923143711654</v>
      </c>
      <c r="Q38" s="37">
        <f t="shared" si="10"/>
        <v>7.1496157185582707E-2</v>
      </c>
      <c r="R38" s="43">
        <f t="shared" si="11"/>
        <v>15.642992314371165</v>
      </c>
      <c r="S38" s="76">
        <f t="shared" si="12"/>
        <v>0.71479085204003234</v>
      </c>
      <c r="T38">
        <v>179</v>
      </c>
      <c r="U38" s="44">
        <f t="shared" si="13"/>
        <v>250.42290271221179</v>
      </c>
      <c r="V38">
        <v>41.5</v>
      </c>
      <c r="W38" s="77">
        <f t="shared" si="14"/>
        <v>151.10068631206161</v>
      </c>
      <c r="X38">
        <f t="shared" si="15"/>
        <v>1.44</v>
      </c>
      <c r="Y38" s="47">
        <f t="shared" si="16"/>
        <v>7.1981000397511279</v>
      </c>
      <c r="Z38">
        <v>15.5</v>
      </c>
    </row>
    <row r="39" spans="1:26" ht="15" customHeight="1" thickBot="1">
      <c r="A39">
        <v>16</v>
      </c>
      <c r="B39" t="s">
        <v>167</v>
      </c>
      <c r="C39">
        <v>0.05</v>
      </c>
      <c r="D39">
        <v>50</v>
      </c>
      <c r="E39" s="37">
        <f t="shared" si="0"/>
        <v>16.071428571428573</v>
      </c>
      <c r="F39">
        <v>30</v>
      </c>
      <c r="G39" s="71">
        <f t="shared" si="1"/>
        <v>1.4285714285714286</v>
      </c>
      <c r="H39" s="39">
        <f t="shared" si="2"/>
        <v>50</v>
      </c>
      <c r="I39">
        <v>50</v>
      </c>
      <c r="J39" s="71">
        <f t="shared" si="3"/>
        <v>7.1428571428571438E-2</v>
      </c>
      <c r="K39" s="71">
        <f t="shared" si="4"/>
        <v>16.142857142857142</v>
      </c>
      <c r="L39" s="72">
        <f t="shared" si="5"/>
        <v>44.72069009779436</v>
      </c>
      <c r="M39" s="73">
        <f t="shared" si="6"/>
        <v>0.99029744057555735</v>
      </c>
      <c r="N39" s="73">
        <f t="shared" si="7"/>
        <v>0.71054543381016988</v>
      </c>
      <c r="O39" s="74">
        <f t="shared" si="8"/>
        <v>28.945456618983016</v>
      </c>
      <c r="P39" s="75">
        <f t="shared" si="9"/>
        <v>1.4073695395348373</v>
      </c>
      <c r="Q39" s="37">
        <f t="shared" si="10"/>
        <v>7.0368476976741867E-2</v>
      </c>
      <c r="R39" s="43">
        <f t="shared" si="11"/>
        <v>16.140736953953486</v>
      </c>
      <c r="S39" s="76">
        <f t="shared" si="12"/>
        <v>0.70365132451486045</v>
      </c>
      <c r="T39">
        <v>180</v>
      </c>
      <c r="U39" s="44">
        <f t="shared" si="13"/>
        <v>255.80851442879444</v>
      </c>
      <c r="V39">
        <v>41.5</v>
      </c>
      <c r="W39" s="77">
        <f t="shared" si="14"/>
        <v>152.23099585935739</v>
      </c>
      <c r="X39">
        <f t="shared" si="15"/>
        <v>1.44</v>
      </c>
      <c r="Y39" s="47">
        <f t="shared" si="16"/>
        <v>7.1962173752085175</v>
      </c>
      <c r="Z39">
        <v>16</v>
      </c>
    </row>
    <row r="40" spans="1:26" ht="15" customHeight="1" thickBot="1">
      <c r="A40">
        <v>16.5</v>
      </c>
      <c r="B40" t="s">
        <v>167</v>
      </c>
      <c r="C40">
        <v>0.05</v>
      </c>
      <c r="D40">
        <v>50</v>
      </c>
      <c r="E40" s="37">
        <f t="shared" si="0"/>
        <v>16.571428571428573</v>
      </c>
      <c r="F40">
        <v>30</v>
      </c>
      <c r="G40" s="71">
        <f t="shared" si="1"/>
        <v>1.4285714285714286</v>
      </c>
      <c r="H40" s="39">
        <f t="shared" si="2"/>
        <v>50</v>
      </c>
      <c r="I40">
        <v>50</v>
      </c>
      <c r="J40" s="71">
        <f t="shared" si="3"/>
        <v>7.1428571428571438E-2</v>
      </c>
      <c r="K40" s="71">
        <f t="shared" si="4"/>
        <v>16.642857142857142</v>
      </c>
      <c r="L40" s="72">
        <f t="shared" si="5"/>
        <v>43.84331553653243</v>
      </c>
      <c r="M40" s="73">
        <f t="shared" si="6"/>
        <v>0.96041777642026038</v>
      </c>
      <c r="N40" s="73">
        <f t="shared" si="7"/>
        <v>0.7212367715743937</v>
      </c>
      <c r="O40" s="74">
        <f t="shared" si="8"/>
        <v>27.876322842560626</v>
      </c>
      <c r="P40" s="75">
        <f t="shared" si="9"/>
        <v>1.3865072323158063</v>
      </c>
      <c r="Q40" s="37">
        <f t="shared" si="10"/>
        <v>6.9325361615790324E-2</v>
      </c>
      <c r="R40" s="43">
        <f t="shared" si="11"/>
        <v>16.638650723231581</v>
      </c>
      <c r="S40" s="76">
        <f t="shared" si="12"/>
        <v>0.6926886164280065</v>
      </c>
      <c r="T40">
        <v>181</v>
      </c>
      <c r="U40" s="44">
        <f t="shared" si="13"/>
        <v>261.30067061497891</v>
      </c>
      <c r="V40">
        <v>41.5</v>
      </c>
      <c r="W40" s="77">
        <f t="shared" si="14"/>
        <v>153.37508803062357</v>
      </c>
      <c r="X40">
        <f t="shared" si="15"/>
        <v>1.44</v>
      </c>
      <c r="Y40" s="47">
        <f t="shared" si="16"/>
        <v>7.2013057281776041</v>
      </c>
      <c r="Z40">
        <v>16.5</v>
      </c>
    </row>
    <row r="41" spans="1:26" ht="15" customHeight="1" thickBot="1">
      <c r="A41">
        <v>17</v>
      </c>
      <c r="B41" t="s">
        <v>167</v>
      </c>
      <c r="C41">
        <v>0.05</v>
      </c>
      <c r="D41">
        <v>55</v>
      </c>
      <c r="E41" s="37">
        <f t="shared" ref="E41:E72" si="17">A41+J41</f>
        <v>17.071428571428573</v>
      </c>
      <c r="F41">
        <v>30</v>
      </c>
      <c r="G41" s="71">
        <f t="shared" ref="G41:G72" si="18">100/(100-F41)</f>
        <v>1.4285714285714286</v>
      </c>
      <c r="H41" s="39">
        <f t="shared" ref="H41:H72" si="19">3.1415926*E41*M41</f>
        <v>54.999999999999993</v>
      </c>
      <c r="I41">
        <v>55</v>
      </c>
      <c r="J41" s="71">
        <f t="shared" ref="J41:J72" si="20">G41*C41</f>
        <v>7.1428571428571438E-2</v>
      </c>
      <c r="K41" s="71">
        <f t="shared" ref="K41:K72" si="21">A41+2*J41</f>
        <v>17.142857142857142</v>
      </c>
      <c r="L41" s="72">
        <f t="shared" ref="L41:L72" si="22">ATAN(I41/(3.1415926*(A41+J41)))*180/3.1415926</f>
        <v>45.721767984423082</v>
      </c>
      <c r="M41" s="73">
        <f t="shared" ref="M41:M72" si="23">I41/(3.1415926*(A41+J41))</f>
        <v>1.0255172240269892</v>
      </c>
      <c r="N41" s="73">
        <f t="shared" ref="N41:N72" si="24">COS(L41*3.1415926/180)</f>
        <v>0.69814333664800121</v>
      </c>
      <c r="O41" s="74">
        <f t="shared" ref="O41:O72" si="25">(D41-I41*N41)/D41*100</f>
        <v>30.18566633519988</v>
      </c>
      <c r="P41" s="75">
        <f t="shared" ref="P41:P72" si="26">100/(100-O41)</f>
        <v>1.4323706143229908</v>
      </c>
      <c r="Q41" s="37">
        <f t="shared" ref="Q41:Q72" si="27">P41*C41</f>
        <v>7.1618530716149542E-2</v>
      </c>
      <c r="R41" s="43">
        <f t="shared" ref="R41:R72" si="28">A41+2*Q41</f>
        <v>17.143237061432298</v>
      </c>
      <c r="S41" s="76">
        <f t="shared" ref="S41:S72" si="29">SIN(L41*3.1415926/180)</f>
        <v>0.71595801657219793</v>
      </c>
      <c r="T41">
        <v>182</v>
      </c>
      <c r="U41" s="44">
        <f t="shared" ref="U41:U72" si="30">T41/S41</f>
        <v>254.20484970803722</v>
      </c>
      <c r="V41">
        <v>41.5</v>
      </c>
      <c r="W41" s="77">
        <f t="shared" ref="W41:W72" si="31">2*SQRT((1000*U41*C41/3.1415926)+(V41*V41))</f>
        <v>151.89530483738443</v>
      </c>
      <c r="X41">
        <f t="shared" ref="X41:X72" si="32">1.44</f>
        <v>1.44</v>
      </c>
      <c r="Y41" s="47">
        <f t="shared" ref="Y41:Y72" si="33">3.14*(A41+Q41)*Q41*X41*P41</f>
        <v>7.9185861811234624</v>
      </c>
      <c r="Z41">
        <v>17</v>
      </c>
    </row>
    <row r="42" spans="1:26" ht="15" customHeight="1" thickBot="1">
      <c r="A42">
        <v>17.5</v>
      </c>
      <c r="B42" t="s">
        <v>167</v>
      </c>
      <c r="C42">
        <v>0.05</v>
      </c>
      <c r="D42">
        <v>55</v>
      </c>
      <c r="E42" s="37">
        <f t="shared" si="17"/>
        <v>17.571428571428573</v>
      </c>
      <c r="F42">
        <v>30</v>
      </c>
      <c r="G42" s="71">
        <f t="shared" si="18"/>
        <v>1.4285714285714286</v>
      </c>
      <c r="H42" s="39">
        <f t="shared" si="19"/>
        <v>55</v>
      </c>
      <c r="I42">
        <v>55</v>
      </c>
      <c r="J42" s="71">
        <f t="shared" si="20"/>
        <v>7.1428571428571438E-2</v>
      </c>
      <c r="K42" s="71">
        <f t="shared" si="21"/>
        <v>17.642857142857142</v>
      </c>
      <c r="L42" s="72">
        <f t="shared" si="22"/>
        <v>44.894837753536876</v>
      </c>
      <c r="M42" s="73">
        <f t="shared" si="23"/>
        <v>0.99633583960345706</v>
      </c>
      <c r="N42" s="73">
        <f t="shared" si="24"/>
        <v>0.70840344203956929</v>
      </c>
      <c r="O42" s="74">
        <f t="shared" si="25"/>
        <v>29.159655796043065</v>
      </c>
      <c r="P42" s="75">
        <f t="shared" si="26"/>
        <v>1.411624987480147</v>
      </c>
      <c r="Q42" s="37">
        <f t="shared" si="27"/>
        <v>7.0581249374007352E-2</v>
      </c>
      <c r="R42" s="43">
        <f t="shared" si="28"/>
        <v>17.641162498748013</v>
      </c>
      <c r="S42" s="76">
        <f t="shared" si="29"/>
        <v>0.705807738202473</v>
      </c>
      <c r="T42">
        <v>183</v>
      </c>
      <c r="U42" s="44">
        <f t="shared" si="30"/>
        <v>259.27740671426773</v>
      </c>
      <c r="V42">
        <v>41.5</v>
      </c>
      <c r="W42" s="77">
        <f t="shared" si="31"/>
        <v>152.95460975666381</v>
      </c>
      <c r="X42">
        <f t="shared" si="32"/>
        <v>1.44</v>
      </c>
      <c r="Y42" s="47">
        <f t="shared" si="33"/>
        <v>7.9156566444002445</v>
      </c>
      <c r="Z42">
        <v>17.5</v>
      </c>
    </row>
    <row r="43" spans="1:26" ht="15" customHeight="1" thickBot="1">
      <c r="A43">
        <v>18</v>
      </c>
      <c r="B43" t="s">
        <v>167</v>
      </c>
      <c r="C43">
        <v>0.05</v>
      </c>
      <c r="D43">
        <v>55</v>
      </c>
      <c r="E43" s="37">
        <f t="shared" si="17"/>
        <v>18.071428571428573</v>
      </c>
      <c r="F43">
        <v>30</v>
      </c>
      <c r="G43" s="71">
        <f t="shared" si="18"/>
        <v>1.4285714285714286</v>
      </c>
      <c r="H43" s="39">
        <f t="shared" si="19"/>
        <v>55</v>
      </c>
      <c r="I43">
        <v>55</v>
      </c>
      <c r="J43" s="71">
        <f t="shared" si="20"/>
        <v>7.1428571428571438E-2</v>
      </c>
      <c r="K43" s="71">
        <f t="shared" si="21"/>
        <v>18.142857142857142</v>
      </c>
      <c r="L43" s="72">
        <f t="shared" si="22"/>
        <v>44.091188838821687</v>
      </c>
      <c r="M43" s="73">
        <f t="shared" si="23"/>
        <v>0.96876923534565396</v>
      </c>
      <c r="N43" s="73">
        <f t="shared" si="24"/>
        <v>0.71823331850070937</v>
      </c>
      <c r="O43" s="74">
        <f t="shared" si="25"/>
        <v>28.176668149929068</v>
      </c>
      <c r="P43" s="75">
        <f t="shared" si="26"/>
        <v>1.3923052220516172</v>
      </c>
      <c r="Q43" s="37">
        <f t="shared" si="27"/>
        <v>6.9615261102580858E-2</v>
      </c>
      <c r="R43" s="43">
        <f t="shared" si="28"/>
        <v>18.13923052220516</v>
      </c>
      <c r="S43" s="76">
        <f t="shared" si="29"/>
        <v>0.69580234276370367</v>
      </c>
      <c r="T43">
        <v>184</v>
      </c>
      <c r="U43" s="44">
        <f t="shared" si="30"/>
        <v>264.44291531005507</v>
      </c>
      <c r="V43">
        <v>41.5</v>
      </c>
      <c r="W43" s="77">
        <f t="shared" si="31"/>
        <v>154.02583920259656</v>
      </c>
      <c r="X43">
        <f t="shared" si="32"/>
        <v>1.44</v>
      </c>
      <c r="Y43" s="47">
        <f t="shared" si="33"/>
        <v>7.9191752549832746</v>
      </c>
      <c r="Z43">
        <v>18</v>
      </c>
    </row>
    <row r="44" spans="1:26" ht="15" customHeight="1" thickBot="1">
      <c r="A44">
        <v>18.5</v>
      </c>
      <c r="B44" t="s">
        <v>167</v>
      </c>
      <c r="C44">
        <v>0.05</v>
      </c>
      <c r="D44">
        <v>60</v>
      </c>
      <c r="E44" s="37">
        <f t="shared" si="17"/>
        <v>18.571428571428573</v>
      </c>
      <c r="F44">
        <v>30</v>
      </c>
      <c r="G44" s="71">
        <f t="shared" si="18"/>
        <v>1.4285714285714286</v>
      </c>
      <c r="H44" s="39">
        <f t="shared" si="19"/>
        <v>60</v>
      </c>
      <c r="I44">
        <v>60</v>
      </c>
      <c r="J44" s="71">
        <f t="shared" si="20"/>
        <v>7.1428571428571438E-2</v>
      </c>
      <c r="K44" s="71">
        <f t="shared" si="21"/>
        <v>18.642857142857142</v>
      </c>
      <c r="L44" s="72">
        <f t="shared" si="22"/>
        <v>45.801761761712967</v>
      </c>
      <c r="M44" s="73">
        <f t="shared" si="23"/>
        <v>1.0283858036746172</v>
      </c>
      <c r="N44" s="73">
        <f t="shared" si="24"/>
        <v>0.69714306834487794</v>
      </c>
      <c r="O44" s="74">
        <f t="shared" si="25"/>
        <v>30.28569316551221</v>
      </c>
      <c r="P44" s="75">
        <f t="shared" si="26"/>
        <v>1.4344257949435686</v>
      </c>
      <c r="Q44" s="37">
        <f t="shared" si="27"/>
        <v>7.1721289747178438E-2</v>
      </c>
      <c r="R44" s="43">
        <f t="shared" si="28"/>
        <v>18.643442579494359</v>
      </c>
      <c r="S44" s="76">
        <f t="shared" si="29"/>
        <v>0.71693203461603583</v>
      </c>
      <c r="T44">
        <v>185</v>
      </c>
      <c r="U44" s="44">
        <f t="shared" si="30"/>
        <v>258.04398613472426</v>
      </c>
      <c r="V44">
        <v>41.5</v>
      </c>
      <c r="W44" s="77">
        <f t="shared" si="31"/>
        <v>152.69771004050989</v>
      </c>
      <c r="X44">
        <f t="shared" si="32"/>
        <v>1.44</v>
      </c>
      <c r="Y44" s="47">
        <f t="shared" si="33"/>
        <v>8.639139262512364</v>
      </c>
      <c r="Z44">
        <v>18.5</v>
      </c>
    </row>
    <row r="45" spans="1:26" ht="15" customHeight="1" thickBot="1">
      <c r="A45">
        <v>19</v>
      </c>
      <c r="B45" t="s">
        <v>167</v>
      </c>
      <c r="C45">
        <v>0.05</v>
      </c>
      <c r="D45">
        <v>60</v>
      </c>
      <c r="E45" s="37">
        <f t="shared" si="17"/>
        <v>19.071428571428573</v>
      </c>
      <c r="F45">
        <v>30</v>
      </c>
      <c r="G45" s="71">
        <f t="shared" si="18"/>
        <v>1.4285714285714286</v>
      </c>
      <c r="H45" s="39">
        <f t="shared" si="19"/>
        <v>60</v>
      </c>
      <c r="I45">
        <v>60</v>
      </c>
      <c r="J45" s="71">
        <f t="shared" si="20"/>
        <v>7.1428571428571438E-2</v>
      </c>
      <c r="K45" s="71">
        <f t="shared" si="21"/>
        <v>19.142857142857142</v>
      </c>
      <c r="L45" s="72">
        <f t="shared" si="22"/>
        <v>45.040777148002483</v>
      </c>
      <c r="M45" s="73">
        <f t="shared" si="23"/>
        <v>1.0014243781101142</v>
      </c>
      <c r="N45" s="73">
        <f t="shared" si="24"/>
        <v>0.70660336693061365</v>
      </c>
      <c r="O45" s="74">
        <f t="shared" si="25"/>
        <v>29.339663306938636</v>
      </c>
      <c r="P45" s="75">
        <f t="shared" si="26"/>
        <v>1.4152211081923658</v>
      </c>
      <c r="Q45" s="37">
        <f t="shared" si="27"/>
        <v>7.0761055409618287E-2</v>
      </c>
      <c r="R45" s="43">
        <f t="shared" si="28"/>
        <v>19.141522110819235</v>
      </c>
      <c r="S45" s="76">
        <f t="shared" si="29"/>
        <v>0.7076098372990024</v>
      </c>
      <c r="T45">
        <v>186</v>
      </c>
      <c r="U45" s="44">
        <f t="shared" si="30"/>
        <v>262.85671876747131</v>
      </c>
      <c r="V45">
        <v>41.5</v>
      </c>
      <c r="W45" s="77">
        <f t="shared" si="31"/>
        <v>153.69768616395822</v>
      </c>
      <c r="X45">
        <f t="shared" si="32"/>
        <v>1.44</v>
      </c>
      <c r="Y45" s="47">
        <f t="shared" si="33"/>
        <v>8.6353265290004089</v>
      </c>
      <c r="Z45">
        <v>19</v>
      </c>
    </row>
    <row r="46" spans="1:26" ht="15" customHeight="1" thickBot="1">
      <c r="A46">
        <v>19.5</v>
      </c>
      <c r="B46" t="s">
        <v>167</v>
      </c>
      <c r="C46">
        <v>0.05</v>
      </c>
      <c r="D46">
        <v>60</v>
      </c>
      <c r="E46" s="37">
        <f t="shared" si="17"/>
        <v>19.571428571428573</v>
      </c>
      <c r="F46">
        <v>30</v>
      </c>
      <c r="G46" s="71">
        <f t="shared" si="18"/>
        <v>1.4285714285714286</v>
      </c>
      <c r="H46" s="39">
        <f t="shared" si="19"/>
        <v>60</v>
      </c>
      <c r="I46">
        <v>60</v>
      </c>
      <c r="J46" s="71">
        <f t="shared" si="20"/>
        <v>7.1428571428571438E-2</v>
      </c>
      <c r="K46" s="71">
        <f t="shared" si="21"/>
        <v>19.642857142857142</v>
      </c>
      <c r="L46" s="72">
        <f t="shared" si="22"/>
        <v>44.299455405427231</v>
      </c>
      <c r="M46" s="73">
        <f t="shared" si="23"/>
        <v>0.97584054363284856</v>
      </c>
      <c r="N46" s="73">
        <f t="shared" si="24"/>
        <v>0.71569938129783928</v>
      </c>
      <c r="O46" s="74">
        <f t="shared" si="25"/>
        <v>28.430061870216068</v>
      </c>
      <c r="P46" s="75">
        <f t="shared" si="26"/>
        <v>1.3972346855835112</v>
      </c>
      <c r="Q46" s="37">
        <f t="shared" si="27"/>
        <v>6.9861734279175566E-2</v>
      </c>
      <c r="R46" s="43">
        <f t="shared" si="28"/>
        <v>19.639723468558351</v>
      </c>
      <c r="S46" s="76">
        <f t="shared" si="29"/>
        <v>0.69840847332337685</v>
      </c>
      <c r="T46">
        <v>187</v>
      </c>
      <c r="U46" s="44">
        <f t="shared" si="30"/>
        <v>267.75161977941144</v>
      </c>
      <c r="V46">
        <v>41.5</v>
      </c>
      <c r="W46" s="77">
        <f t="shared" si="31"/>
        <v>154.70810519901201</v>
      </c>
      <c r="X46">
        <f t="shared" si="32"/>
        <v>1.44</v>
      </c>
      <c r="Y46" s="47">
        <f t="shared" si="33"/>
        <v>8.6375110946548013</v>
      </c>
      <c r="Z46">
        <v>19.5</v>
      </c>
    </row>
    <row r="47" spans="1:26" ht="15" customHeight="1" thickBot="1">
      <c r="A47">
        <v>20</v>
      </c>
      <c r="B47" t="s">
        <v>167</v>
      </c>
      <c r="C47">
        <v>0.05</v>
      </c>
      <c r="D47">
        <v>60</v>
      </c>
      <c r="E47" s="37">
        <f t="shared" si="17"/>
        <v>20.071428571428573</v>
      </c>
      <c r="F47">
        <v>30</v>
      </c>
      <c r="G47" s="71">
        <f t="shared" si="18"/>
        <v>1.4285714285714286</v>
      </c>
      <c r="H47" s="39">
        <f t="shared" si="19"/>
        <v>60</v>
      </c>
      <c r="I47">
        <v>60</v>
      </c>
      <c r="J47" s="71">
        <f t="shared" si="20"/>
        <v>7.1428571428571438E-2</v>
      </c>
      <c r="K47" s="71">
        <f t="shared" si="21"/>
        <v>20.142857142857142</v>
      </c>
      <c r="L47" s="72">
        <f t="shared" si="22"/>
        <v>43.577282947237173</v>
      </c>
      <c r="M47" s="73">
        <f t="shared" si="23"/>
        <v>0.95153134859573119</v>
      </c>
      <c r="N47" s="73">
        <f t="shared" si="24"/>
        <v>0.7244452388900694</v>
      </c>
      <c r="O47" s="74">
        <f t="shared" si="25"/>
        <v>27.555476110993059</v>
      </c>
      <c r="P47" s="75">
        <f t="shared" si="26"/>
        <v>1.3803665844116955</v>
      </c>
      <c r="Q47" s="37">
        <f t="shared" si="27"/>
        <v>6.9018329220584776E-2</v>
      </c>
      <c r="R47" s="43">
        <f t="shared" si="28"/>
        <v>20.13803665844117</v>
      </c>
      <c r="S47" s="76">
        <f t="shared" si="29"/>
        <v>0.68933235514482438</v>
      </c>
      <c r="T47">
        <v>188</v>
      </c>
      <c r="U47" s="44">
        <f t="shared" si="30"/>
        <v>272.72765973751859</v>
      </c>
      <c r="V47">
        <v>41.5</v>
      </c>
      <c r="W47" s="77">
        <f t="shared" si="31"/>
        <v>155.72855345829981</v>
      </c>
      <c r="X47">
        <f t="shared" si="32"/>
        <v>1.44</v>
      </c>
      <c r="Y47" s="47">
        <f t="shared" si="33"/>
        <v>8.6452418872575407</v>
      </c>
      <c r="Z47">
        <v>20</v>
      </c>
    </row>
    <row r="48" spans="1:26" ht="15" customHeight="1" thickBot="1">
      <c r="A48">
        <v>20.5</v>
      </c>
      <c r="B48" t="s">
        <v>167</v>
      </c>
      <c r="C48">
        <v>0.05</v>
      </c>
      <c r="D48">
        <v>65</v>
      </c>
      <c r="E48" s="37">
        <f t="shared" si="17"/>
        <v>20.571428571428573</v>
      </c>
      <c r="F48">
        <v>30</v>
      </c>
      <c r="G48" s="71">
        <f t="shared" si="18"/>
        <v>1.4285714285714286</v>
      </c>
      <c r="H48" s="39">
        <f t="shared" si="19"/>
        <v>65</v>
      </c>
      <c r="I48">
        <v>65</v>
      </c>
      <c r="J48" s="71">
        <f t="shared" si="20"/>
        <v>7.1428571428571438E-2</v>
      </c>
      <c r="K48" s="71">
        <f t="shared" si="21"/>
        <v>20.642857142857142</v>
      </c>
      <c r="L48" s="72">
        <f t="shared" si="22"/>
        <v>45.164846997070505</v>
      </c>
      <c r="M48" s="73">
        <f t="shared" si="23"/>
        <v>1.0057708380845505</v>
      </c>
      <c r="N48" s="73">
        <f t="shared" si="24"/>
        <v>0.70506943378857334</v>
      </c>
      <c r="O48" s="74">
        <f t="shared" si="25"/>
        <v>29.493056621142667</v>
      </c>
      <c r="P48" s="75">
        <f t="shared" si="26"/>
        <v>1.4183000312843892</v>
      </c>
      <c r="Q48" s="37">
        <f t="shared" si="27"/>
        <v>7.0915001564219468E-2</v>
      </c>
      <c r="R48" s="43">
        <f t="shared" si="28"/>
        <v>20.64183000312844</v>
      </c>
      <c r="S48" s="76">
        <f t="shared" si="29"/>
        <v>0.70913827532933282</v>
      </c>
      <c r="T48">
        <v>189</v>
      </c>
      <c r="U48" s="44">
        <f t="shared" si="30"/>
        <v>266.52065834723982</v>
      </c>
      <c r="V48">
        <v>41.5</v>
      </c>
      <c r="W48" s="77">
        <f t="shared" si="31"/>
        <v>154.45462885345185</v>
      </c>
      <c r="X48">
        <f t="shared" si="32"/>
        <v>1.44</v>
      </c>
      <c r="Y48" s="47">
        <f t="shared" si="33"/>
        <v>9.3551763620056594</v>
      </c>
      <c r="Z48">
        <v>20.5</v>
      </c>
    </row>
    <row r="49" spans="1:26" ht="15" customHeight="1" thickBot="1">
      <c r="A49">
        <v>21</v>
      </c>
      <c r="B49" t="s">
        <v>167</v>
      </c>
      <c r="C49">
        <v>0.05</v>
      </c>
      <c r="D49">
        <v>65</v>
      </c>
      <c r="E49" s="37">
        <f t="shared" si="17"/>
        <v>21.071428571428573</v>
      </c>
      <c r="F49">
        <v>30</v>
      </c>
      <c r="G49" s="71">
        <f t="shared" si="18"/>
        <v>1.4285714285714286</v>
      </c>
      <c r="H49" s="39">
        <f t="shared" si="19"/>
        <v>65</v>
      </c>
      <c r="I49">
        <v>65</v>
      </c>
      <c r="J49" s="71">
        <f t="shared" si="20"/>
        <v>7.1428571428571438E-2</v>
      </c>
      <c r="K49" s="71">
        <f t="shared" si="21"/>
        <v>21.142857142857142</v>
      </c>
      <c r="L49" s="72">
        <f t="shared" si="22"/>
        <v>44.476901439518201</v>
      </c>
      <c r="M49" s="73">
        <f t="shared" si="23"/>
        <v>0.98190508938423915</v>
      </c>
      <c r="N49" s="73">
        <f t="shared" si="24"/>
        <v>0.71353296918207632</v>
      </c>
      <c r="O49" s="74">
        <f t="shared" si="25"/>
        <v>28.646703081792367</v>
      </c>
      <c r="P49" s="75">
        <f t="shared" si="26"/>
        <v>1.4014769368629192</v>
      </c>
      <c r="Q49" s="37">
        <f t="shared" si="27"/>
        <v>7.0073846843145965E-2</v>
      </c>
      <c r="R49" s="43">
        <f t="shared" si="28"/>
        <v>21.140147693686291</v>
      </c>
      <c r="S49" s="76">
        <f t="shared" si="29"/>
        <v>0.7006216538833282</v>
      </c>
      <c r="T49">
        <v>190</v>
      </c>
      <c r="U49" s="44">
        <f t="shared" si="30"/>
        <v>271.18773584414498</v>
      </c>
      <c r="V49">
        <v>41.5</v>
      </c>
      <c r="W49" s="77">
        <f t="shared" si="31"/>
        <v>155.413473549419</v>
      </c>
      <c r="X49">
        <f t="shared" si="32"/>
        <v>1.44</v>
      </c>
      <c r="Y49" s="47">
        <f t="shared" si="33"/>
        <v>9.3562132703411667</v>
      </c>
      <c r="Z49">
        <v>21</v>
      </c>
    </row>
    <row r="50" spans="1:26" ht="15" customHeight="1" thickBot="1">
      <c r="A50">
        <v>21.5</v>
      </c>
      <c r="B50" t="s">
        <v>167</v>
      </c>
      <c r="C50">
        <v>0.05</v>
      </c>
      <c r="D50">
        <v>65</v>
      </c>
      <c r="E50" s="37">
        <f t="shared" si="17"/>
        <v>21.571428571428573</v>
      </c>
      <c r="F50">
        <v>30</v>
      </c>
      <c r="G50" s="71">
        <f t="shared" si="18"/>
        <v>1.4285714285714286</v>
      </c>
      <c r="H50" s="39">
        <f t="shared" si="19"/>
        <v>65</v>
      </c>
      <c r="I50">
        <v>65</v>
      </c>
      <c r="J50" s="71">
        <f t="shared" si="20"/>
        <v>7.1428571428571438E-2</v>
      </c>
      <c r="K50" s="71">
        <f t="shared" si="21"/>
        <v>21.642857142857142</v>
      </c>
      <c r="L50" s="72">
        <f t="shared" si="22"/>
        <v>43.805378131042929</v>
      </c>
      <c r="M50" s="73">
        <f t="shared" si="23"/>
        <v>0.95914569989520049</v>
      </c>
      <c r="N50" s="73">
        <f t="shared" si="24"/>
        <v>0.72169526517003513</v>
      </c>
      <c r="O50" s="74">
        <f t="shared" si="25"/>
        <v>27.830473482996489</v>
      </c>
      <c r="P50" s="75">
        <f t="shared" si="26"/>
        <v>1.3856263831305515</v>
      </c>
      <c r="Q50" s="37">
        <f t="shared" si="27"/>
        <v>6.9281319156527577E-2</v>
      </c>
      <c r="R50" s="43">
        <f t="shared" si="28"/>
        <v>21.638562638313054</v>
      </c>
      <c r="S50" s="76">
        <f t="shared" si="29"/>
        <v>0.69221091022256553</v>
      </c>
      <c r="T50">
        <v>191</v>
      </c>
      <c r="U50" s="44">
        <f t="shared" si="30"/>
        <v>275.92746253968761</v>
      </c>
      <c r="V50">
        <v>41.5</v>
      </c>
      <c r="W50" s="77">
        <f t="shared" si="31"/>
        <v>156.38122693866802</v>
      </c>
      <c r="X50">
        <f t="shared" si="32"/>
        <v>1.44</v>
      </c>
      <c r="Y50" s="47">
        <f t="shared" si="33"/>
        <v>9.3624628458831189</v>
      </c>
      <c r="Z50">
        <v>21.5</v>
      </c>
    </row>
    <row r="51" spans="1:26" ht="15" customHeight="1" thickBot="1">
      <c r="A51">
        <v>22</v>
      </c>
      <c r="B51" t="s">
        <v>167</v>
      </c>
      <c r="C51">
        <v>0.05</v>
      </c>
      <c r="D51">
        <v>70</v>
      </c>
      <c r="E51" s="37">
        <f t="shared" si="17"/>
        <v>22.071428571428573</v>
      </c>
      <c r="F51">
        <v>30</v>
      </c>
      <c r="G51" s="71">
        <f t="shared" si="18"/>
        <v>1.4285714285714286</v>
      </c>
      <c r="H51" s="39">
        <f t="shared" si="19"/>
        <v>70</v>
      </c>
      <c r="I51">
        <v>70</v>
      </c>
      <c r="J51" s="71">
        <f t="shared" si="20"/>
        <v>7.1428571428571438E-2</v>
      </c>
      <c r="K51" s="71">
        <f t="shared" si="21"/>
        <v>22.142857142857142</v>
      </c>
      <c r="L51" s="72">
        <f t="shared" si="22"/>
        <v>45.271619548727088</v>
      </c>
      <c r="M51" s="73">
        <f t="shared" si="23"/>
        <v>1.0095265170915877</v>
      </c>
      <c r="N51" s="73">
        <f t="shared" si="24"/>
        <v>0.70374670803236694</v>
      </c>
      <c r="O51" s="74">
        <f t="shared" si="25"/>
        <v>29.625329196763307</v>
      </c>
      <c r="P51" s="75">
        <f t="shared" si="26"/>
        <v>1.4209657943494176</v>
      </c>
      <c r="Q51" s="37">
        <f t="shared" si="27"/>
        <v>7.1048289717470889E-2</v>
      </c>
      <c r="R51" s="43">
        <f t="shared" si="28"/>
        <v>22.142096579434941</v>
      </c>
      <c r="S51" s="76">
        <f t="shared" si="29"/>
        <v>0.71045096307458577</v>
      </c>
      <c r="T51">
        <v>192</v>
      </c>
      <c r="U51" s="44">
        <f t="shared" si="30"/>
        <v>270.25088286050101</v>
      </c>
      <c r="V51">
        <v>41.5</v>
      </c>
      <c r="W51" s="77">
        <f t="shared" si="31"/>
        <v>155.22147353494503</v>
      </c>
      <c r="X51">
        <f t="shared" si="32"/>
        <v>1.44</v>
      </c>
      <c r="Y51" s="47">
        <f t="shared" si="33"/>
        <v>10.075169304187847</v>
      </c>
      <c r="Z51">
        <v>22</v>
      </c>
    </row>
    <row r="52" spans="1:26" ht="15" customHeight="1" thickBot="1">
      <c r="A52">
        <v>22.5</v>
      </c>
      <c r="B52" t="s">
        <v>167</v>
      </c>
      <c r="C52">
        <v>0.05</v>
      </c>
      <c r="D52">
        <v>70</v>
      </c>
      <c r="E52" s="37">
        <f t="shared" si="17"/>
        <v>22.571428571428573</v>
      </c>
      <c r="F52">
        <v>30</v>
      </c>
      <c r="G52" s="71">
        <f t="shared" si="18"/>
        <v>1.4285714285714286</v>
      </c>
      <c r="H52" s="39">
        <f t="shared" si="19"/>
        <v>70</v>
      </c>
      <c r="I52">
        <v>70</v>
      </c>
      <c r="J52" s="71">
        <f t="shared" si="20"/>
        <v>7.1428571428571438E-2</v>
      </c>
      <c r="K52" s="71">
        <f t="shared" si="21"/>
        <v>22.642857142857142</v>
      </c>
      <c r="L52" s="72">
        <f t="shared" si="22"/>
        <v>44.629894338506539</v>
      </c>
      <c r="M52" s="73">
        <f t="shared" si="23"/>
        <v>0.98716358791550807</v>
      </c>
      <c r="N52" s="73">
        <f t="shared" si="24"/>
        <v>0.71165960681593821</v>
      </c>
      <c r="O52" s="74">
        <f t="shared" si="25"/>
        <v>28.834039318406184</v>
      </c>
      <c r="P52" s="75">
        <f t="shared" si="26"/>
        <v>1.4051661643044995</v>
      </c>
      <c r="Q52" s="37">
        <f t="shared" si="27"/>
        <v>7.0258308215224982E-2</v>
      </c>
      <c r="R52" s="43">
        <f t="shared" si="28"/>
        <v>22.64051661643045</v>
      </c>
      <c r="S52" s="76">
        <f t="shared" si="29"/>
        <v>0.70252445083896131</v>
      </c>
      <c r="T52">
        <v>193</v>
      </c>
      <c r="U52" s="44">
        <f t="shared" si="30"/>
        <v>274.72353420513349</v>
      </c>
      <c r="V52">
        <v>41.5</v>
      </c>
      <c r="W52" s="77">
        <f t="shared" si="31"/>
        <v>156.13597817065323</v>
      </c>
      <c r="X52">
        <f t="shared" si="32"/>
        <v>1.44</v>
      </c>
      <c r="Y52" s="47">
        <f t="shared" si="33"/>
        <v>10.075208474539076</v>
      </c>
      <c r="Z52">
        <v>22.5</v>
      </c>
    </row>
    <row r="53" spans="1:26" ht="15" customHeight="1" thickBot="1">
      <c r="A53">
        <v>23</v>
      </c>
      <c r="B53" t="s">
        <v>167</v>
      </c>
      <c r="C53">
        <v>0.05</v>
      </c>
      <c r="D53">
        <v>70</v>
      </c>
      <c r="E53" s="37">
        <f t="shared" si="17"/>
        <v>23.071428571428573</v>
      </c>
      <c r="F53">
        <v>30</v>
      </c>
      <c r="G53" s="71">
        <f t="shared" si="18"/>
        <v>1.4285714285714286</v>
      </c>
      <c r="H53" s="39">
        <f t="shared" si="19"/>
        <v>70</v>
      </c>
      <c r="I53">
        <v>70</v>
      </c>
      <c r="J53" s="71">
        <f t="shared" si="20"/>
        <v>7.1428571428571438E-2</v>
      </c>
      <c r="K53" s="71">
        <f t="shared" si="21"/>
        <v>23.142857142857142</v>
      </c>
      <c r="L53" s="72">
        <f t="shared" si="22"/>
        <v>44.002407303363398</v>
      </c>
      <c r="M53" s="73">
        <f t="shared" si="23"/>
        <v>0.96576994978730824</v>
      </c>
      <c r="N53" s="73">
        <f t="shared" si="24"/>
        <v>0.71931062247615696</v>
      </c>
      <c r="O53" s="74">
        <f t="shared" si="25"/>
        <v>28.068937752384304</v>
      </c>
      <c r="P53" s="75">
        <f t="shared" si="26"/>
        <v>1.3902199811224767</v>
      </c>
      <c r="Q53" s="37">
        <f t="shared" si="27"/>
        <v>6.9510999056123832E-2</v>
      </c>
      <c r="R53" s="43">
        <f t="shared" si="28"/>
        <v>23.139021998112248</v>
      </c>
      <c r="S53" s="76">
        <f t="shared" si="29"/>
        <v>0.69468858375027553</v>
      </c>
      <c r="T53">
        <v>194</v>
      </c>
      <c r="U53" s="44">
        <f t="shared" si="30"/>
        <v>279.26182254599786</v>
      </c>
      <c r="V53">
        <v>41.5</v>
      </c>
      <c r="W53" s="77">
        <f t="shared" si="31"/>
        <v>157.05846075040031</v>
      </c>
      <c r="X53">
        <f t="shared" si="32"/>
        <v>1.44</v>
      </c>
      <c r="Y53" s="47">
        <f t="shared" si="33"/>
        <v>10.080163717810843</v>
      </c>
      <c r="Z53">
        <v>23</v>
      </c>
    </row>
    <row r="54" spans="1:26" ht="15" customHeight="1" thickBot="1">
      <c r="A54">
        <v>23.5</v>
      </c>
      <c r="B54" t="s">
        <v>167</v>
      </c>
      <c r="C54">
        <v>0.05</v>
      </c>
      <c r="D54">
        <v>70</v>
      </c>
      <c r="E54" s="37">
        <f t="shared" si="17"/>
        <v>23.571428571428573</v>
      </c>
      <c r="F54">
        <v>30</v>
      </c>
      <c r="G54" s="71">
        <f t="shared" si="18"/>
        <v>1.4285714285714286</v>
      </c>
      <c r="H54" s="39">
        <f t="shared" si="19"/>
        <v>70</v>
      </c>
      <c r="I54">
        <v>70</v>
      </c>
      <c r="J54" s="71">
        <f t="shared" si="20"/>
        <v>7.1428571428571438E-2</v>
      </c>
      <c r="K54" s="71">
        <f t="shared" si="21"/>
        <v>23.642857142857142</v>
      </c>
      <c r="L54" s="72">
        <f t="shared" si="22"/>
        <v>43.388835387071438</v>
      </c>
      <c r="M54" s="73">
        <f t="shared" si="23"/>
        <v>0.9452839205493957</v>
      </c>
      <c r="N54" s="73">
        <f t="shared" si="24"/>
        <v>0.72670855141056223</v>
      </c>
      <c r="O54" s="74">
        <f t="shared" si="25"/>
        <v>27.329144858943771</v>
      </c>
      <c r="P54" s="75">
        <f t="shared" si="26"/>
        <v>1.3760674730729001</v>
      </c>
      <c r="Q54" s="37">
        <f t="shared" si="27"/>
        <v>6.8803373653645014E-2</v>
      </c>
      <c r="R54" s="43">
        <f t="shared" si="28"/>
        <v>23.637606747307291</v>
      </c>
      <c r="S54" s="76">
        <f t="shared" si="29"/>
        <v>0.68694590857414839</v>
      </c>
      <c r="T54">
        <v>195</v>
      </c>
      <c r="U54" s="44">
        <f t="shared" si="30"/>
        <v>283.86514508070888</v>
      </c>
      <c r="V54">
        <v>41.5</v>
      </c>
      <c r="W54" s="77">
        <f t="shared" si="31"/>
        <v>157.9886600762924</v>
      </c>
      <c r="X54">
        <f t="shared" si="32"/>
        <v>1.44</v>
      </c>
      <c r="Y54" s="47">
        <f t="shared" si="33"/>
        <v>10.089720512379014</v>
      </c>
      <c r="Z54">
        <v>23.5</v>
      </c>
    </row>
    <row r="55" spans="1:26" ht="15" customHeight="1" thickBot="1">
      <c r="A55">
        <v>24</v>
      </c>
      <c r="B55" t="s">
        <v>167</v>
      </c>
      <c r="C55">
        <v>0.05</v>
      </c>
      <c r="D55">
        <v>75</v>
      </c>
      <c r="E55" s="37">
        <f t="shared" si="17"/>
        <v>24.071428571428573</v>
      </c>
      <c r="F55">
        <v>30</v>
      </c>
      <c r="G55" s="71">
        <f t="shared" si="18"/>
        <v>1.4285714285714286</v>
      </c>
      <c r="H55" s="39">
        <f t="shared" si="19"/>
        <v>75</v>
      </c>
      <c r="I55">
        <v>75</v>
      </c>
      <c r="J55" s="71">
        <f t="shared" si="20"/>
        <v>7.1428571428571438E-2</v>
      </c>
      <c r="K55" s="71">
        <f t="shared" si="21"/>
        <v>24.142857142857142</v>
      </c>
      <c r="L55" s="72">
        <f t="shared" si="22"/>
        <v>44.763161158489311</v>
      </c>
      <c r="M55" s="73">
        <f t="shared" si="23"/>
        <v>0.99176672461201965</v>
      </c>
      <c r="N55" s="73">
        <f t="shared" si="24"/>
        <v>0.71002365018410729</v>
      </c>
      <c r="O55" s="74">
        <f t="shared" si="25"/>
        <v>28.997634981589272</v>
      </c>
      <c r="P55" s="75">
        <f t="shared" si="26"/>
        <v>1.408403790128262</v>
      </c>
      <c r="Q55" s="37">
        <f t="shared" si="27"/>
        <v>7.04201895064131E-2</v>
      </c>
      <c r="R55" s="43">
        <f t="shared" si="28"/>
        <v>24.140840379012825</v>
      </c>
      <c r="S55" s="76">
        <f t="shared" si="29"/>
        <v>0.70417782994016254</v>
      </c>
      <c r="T55">
        <v>196</v>
      </c>
      <c r="U55" s="44">
        <f t="shared" si="30"/>
        <v>278.33878271438209</v>
      </c>
      <c r="V55">
        <v>41.5</v>
      </c>
      <c r="W55" s="77">
        <f t="shared" si="31"/>
        <v>156.87127701250381</v>
      </c>
      <c r="X55">
        <f t="shared" si="32"/>
        <v>1.44</v>
      </c>
      <c r="Y55" s="47">
        <f t="shared" si="33"/>
        <v>10.794441733479845</v>
      </c>
      <c r="Z55">
        <v>24</v>
      </c>
    </row>
    <row r="56" spans="1:26" ht="15" customHeight="1" thickBot="1">
      <c r="A56">
        <v>24.5</v>
      </c>
      <c r="B56" t="s">
        <v>167</v>
      </c>
      <c r="C56">
        <v>0.05</v>
      </c>
      <c r="D56">
        <v>75</v>
      </c>
      <c r="E56" s="37">
        <f t="shared" si="17"/>
        <v>24.571428571428573</v>
      </c>
      <c r="F56">
        <v>30</v>
      </c>
      <c r="G56" s="71">
        <f t="shared" si="18"/>
        <v>1.4285714285714286</v>
      </c>
      <c r="H56" s="39">
        <f t="shared" si="19"/>
        <v>75</v>
      </c>
      <c r="I56">
        <v>75</v>
      </c>
      <c r="J56" s="71">
        <f t="shared" si="20"/>
        <v>7.1428571428571438E-2</v>
      </c>
      <c r="K56" s="71">
        <f t="shared" si="21"/>
        <v>24.642857142857142</v>
      </c>
      <c r="L56" s="72">
        <f t="shared" si="22"/>
        <v>44.174308647865367</v>
      </c>
      <c r="M56" s="73">
        <f t="shared" si="23"/>
        <v>0.97158542498328671</v>
      </c>
      <c r="N56" s="73">
        <f t="shared" si="24"/>
        <v>0.71722315264779168</v>
      </c>
      <c r="O56" s="74">
        <f t="shared" si="25"/>
        <v>28.277684735220838</v>
      </c>
      <c r="P56" s="75">
        <f t="shared" si="26"/>
        <v>1.3942662005657147</v>
      </c>
      <c r="Q56" s="37">
        <f t="shared" si="27"/>
        <v>6.9713310028285735E-2</v>
      </c>
      <c r="R56" s="43">
        <f t="shared" si="28"/>
        <v>24.639426620056572</v>
      </c>
      <c r="S56" s="76">
        <f t="shared" si="29"/>
        <v>0.69684356157315719</v>
      </c>
      <c r="T56">
        <v>197</v>
      </c>
      <c r="U56" s="44">
        <f t="shared" si="30"/>
        <v>282.70333667898603</v>
      </c>
      <c r="V56">
        <v>41.5</v>
      </c>
      <c r="W56" s="77">
        <f t="shared" si="31"/>
        <v>157.75440941988481</v>
      </c>
      <c r="X56">
        <f t="shared" si="32"/>
        <v>1.44</v>
      </c>
      <c r="Y56" s="47">
        <f t="shared" si="33"/>
        <v>10.798256324683246</v>
      </c>
      <c r="Z56">
        <v>24.5</v>
      </c>
    </row>
    <row r="57" spans="1:26" ht="15" customHeight="1" thickBot="1">
      <c r="A57">
        <v>25</v>
      </c>
      <c r="B57" t="s">
        <v>167</v>
      </c>
      <c r="C57">
        <v>0.05</v>
      </c>
      <c r="D57">
        <v>75</v>
      </c>
      <c r="E57" s="37">
        <f t="shared" si="17"/>
        <v>25.071428571428573</v>
      </c>
      <c r="F57">
        <v>30</v>
      </c>
      <c r="G57" s="71">
        <f t="shared" si="18"/>
        <v>1.4285714285714286</v>
      </c>
      <c r="H57" s="39">
        <f t="shared" si="19"/>
        <v>75</v>
      </c>
      <c r="I57">
        <v>75</v>
      </c>
      <c r="J57" s="71">
        <f t="shared" si="20"/>
        <v>7.1428571428571438E-2</v>
      </c>
      <c r="K57" s="71">
        <f t="shared" si="21"/>
        <v>25.142857142857142</v>
      </c>
      <c r="L57" s="72">
        <f t="shared" si="22"/>
        <v>43.59765537464849</v>
      </c>
      <c r="M57" s="73">
        <f t="shared" si="23"/>
        <v>0.95220907747649752</v>
      </c>
      <c r="N57" s="73">
        <f t="shared" si="24"/>
        <v>0.72420009000130015</v>
      </c>
      <c r="O57" s="74">
        <f t="shared" si="25"/>
        <v>27.579990999869985</v>
      </c>
      <c r="P57" s="75">
        <f t="shared" si="26"/>
        <v>1.3808338521446533</v>
      </c>
      <c r="Q57" s="37">
        <f t="shared" si="27"/>
        <v>6.9041692607232669E-2</v>
      </c>
      <c r="R57" s="43">
        <f t="shared" si="28"/>
        <v>25.138083385214465</v>
      </c>
      <c r="S57" s="76">
        <f t="shared" si="29"/>
        <v>0.68958989960853456</v>
      </c>
      <c r="T57">
        <v>198</v>
      </c>
      <c r="U57" s="44">
        <f t="shared" si="30"/>
        <v>287.12717531448817</v>
      </c>
      <c r="V57">
        <v>41.5</v>
      </c>
      <c r="W57" s="77">
        <f t="shared" si="31"/>
        <v>158.64452089729784</v>
      </c>
      <c r="X57">
        <f t="shared" si="32"/>
        <v>1.44</v>
      </c>
      <c r="Y57" s="47">
        <f t="shared" si="33"/>
        <v>10.806442033380199</v>
      </c>
      <c r="Z57">
        <v>25</v>
      </c>
    </row>
    <row r="58" spans="1:26" ht="15" customHeight="1" thickBot="1">
      <c r="A58">
        <v>25.5</v>
      </c>
      <c r="B58" t="s">
        <v>167</v>
      </c>
      <c r="C58">
        <v>0.05</v>
      </c>
      <c r="D58">
        <v>80</v>
      </c>
      <c r="E58" s="37">
        <f t="shared" si="17"/>
        <v>25.571428571428573</v>
      </c>
      <c r="F58">
        <v>30</v>
      </c>
      <c r="G58" s="71">
        <f t="shared" si="18"/>
        <v>1.4285714285714286</v>
      </c>
      <c r="H58" s="39">
        <f t="shared" si="19"/>
        <v>80</v>
      </c>
      <c r="I58">
        <v>80</v>
      </c>
      <c r="J58" s="71">
        <f t="shared" si="20"/>
        <v>7.1428571428571438E-2</v>
      </c>
      <c r="K58" s="71">
        <f t="shared" si="21"/>
        <v>25.642857142857142</v>
      </c>
      <c r="L58" s="72">
        <f t="shared" si="22"/>
        <v>44.880284708122772</v>
      </c>
      <c r="M58" s="73">
        <f t="shared" si="23"/>
        <v>0.99582982851173374</v>
      </c>
      <c r="N58" s="73">
        <f t="shared" si="24"/>
        <v>0.70858269333136592</v>
      </c>
      <c r="O58" s="74">
        <f t="shared" si="25"/>
        <v>29.14173066686341</v>
      </c>
      <c r="P58" s="75">
        <f t="shared" si="26"/>
        <v>1.4112678864601538</v>
      </c>
      <c r="Q58" s="37">
        <f t="shared" si="27"/>
        <v>7.0563394323007692E-2</v>
      </c>
      <c r="R58" s="43">
        <f t="shared" si="28"/>
        <v>25.641126788646016</v>
      </c>
      <c r="S58" s="76">
        <f t="shared" si="29"/>
        <v>0.70562778198655651</v>
      </c>
      <c r="T58">
        <v>199</v>
      </c>
      <c r="U58" s="44">
        <f t="shared" si="30"/>
        <v>282.01837438961735</v>
      </c>
      <c r="V58">
        <v>41.5</v>
      </c>
      <c r="W58" s="77">
        <f t="shared" si="31"/>
        <v>157.61614015385283</v>
      </c>
      <c r="X58">
        <f t="shared" si="32"/>
        <v>1.44</v>
      </c>
      <c r="Y58" s="47">
        <f t="shared" si="33"/>
        <v>11.513871013621028</v>
      </c>
      <c r="Z58">
        <v>25.5</v>
      </c>
    </row>
    <row r="59" spans="1:26" ht="15" customHeight="1" thickBot="1">
      <c r="A59">
        <v>26</v>
      </c>
      <c r="B59" t="s">
        <v>167</v>
      </c>
      <c r="C59">
        <v>0.05</v>
      </c>
      <c r="D59">
        <v>80</v>
      </c>
      <c r="E59" s="37">
        <f t="shared" si="17"/>
        <v>26.071428571428573</v>
      </c>
      <c r="F59">
        <v>30</v>
      </c>
      <c r="G59" s="71">
        <f t="shared" si="18"/>
        <v>1.4285714285714286</v>
      </c>
      <c r="H59" s="39">
        <f t="shared" si="19"/>
        <v>80</v>
      </c>
      <c r="I59">
        <v>80</v>
      </c>
      <c r="J59" s="71">
        <f t="shared" si="20"/>
        <v>7.1428571428571438E-2</v>
      </c>
      <c r="K59" s="71">
        <f t="shared" si="21"/>
        <v>26.142857142857142</v>
      </c>
      <c r="L59" s="72">
        <f t="shared" si="22"/>
        <v>44.325598392971074</v>
      </c>
      <c r="M59" s="73">
        <f t="shared" si="23"/>
        <v>0.97673172221150861</v>
      </c>
      <c r="N59" s="73">
        <f t="shared" si="24"/>
        <v>0.71538063615015257</v>
      </c>
      <c r="O59" s="74">
        <f t="shared" si="25"/>
        <v>28.461936384984742</v>
      </c>
      <c r="P59" s="75">
        <f t="shared" si="26"/>
        <v>1.3978572377658096</v>
      </c>
      <c r="Q59" s="37">
        <f t="shared" si="27"/>
        <v>6.9892861888290483E-2</v>
      </c>
      <c r="R59" s="43">
        <f t="shared" si="28"/>
        <v>26.13978572377658</v>
      </c>
      <c r="S59" s="76">
        <f t="shared" si="29"/>
        <v>0.69873496078370301</v>
      </c>
      <c r="T59">
        <v>200</v>
      </c>
      <c r="U59" s="44">
        <f t="shared" si="30"/>
        <v>286.23156307461625</v>
      </c>
      <c r="V59">
        <v>41.5</v>
      </c>
      <c r="W59" s="77">
        <f t="shared" si="31"/>
        <v>158.46472024943876</v>
      </c>
      <c r="X59">
        <f t="shared" si="32"/>
        <v>1.44</v>
      </c>
      <c r="Y59" s="47">
        <f t="shared" si="33"/>
        <v>11.516672840642405</v>
      </c>
      <c r="Z59">
        <v>26</v>
      </c>
    </row>
    <row r="60" spans="1:26" ht="15" customHeight="1" thickBot="1">
      <c r="A60">
        <v>26.5</v>
      </c>
      <c r="B60" t="s">
        <v>167</v>
      </c>
      <c r="C60">
        <v>0.05</v>
      </c>
      <c r="D60">
        <v>80</v>
      </c>
      <c r="E60" s="37">
        <f t="shared" si="17"/>
        <v>26.571428571428573</v>
      </c>
      <c r="F60">
        <v>30</v>
      </c>
      <c r="G60" s="71">
        <f t="shared" si="18"/>
        <v>1.4285714285714286</v>
      </c>
      <c r="H60" s="39">
        <f t="shared" si="19"/>
        <v>80</v>
      </c>
      <c r="I60">
        <v>80</v>
      </c>
      <c r="J60" s="71">
        <f t="shared" si="20"/>
        <v>7.1428571428571438E-2</v>
      </c>
      <c r="K60" s="71">
        <f t="shared" si="21"/>
        <v>26.642857142857142</v>
      </c>
      <c r="L60" s="72">
        <f t="shared" si="22"/>
        <v>43.781693819460003</v>
      </c>
      <c r="M60" s="73">
        <f t="shared" si="23"/>
        <v>0.95835236184731354</v>
      </c>
      <c r="N60" s="73">
        <f t="shared" si="24"/>
        <v>0.72198134218027143</v>
      </c>
      <c r="O60" s="74">
        <f t="shared" si="25"/>
        <v>27.801865781972861</v>
      </c>
      <c r="P60" s="75">
        <f t="shared" si="26"/>
        <v>1.3850773442152335</v>
      </c>
      <c r="Q60" s="37">
        <f t="shared" si="27"/>
        <v>6.9253867210761683E-2</v>
      </c>
      <c r="R60" s="43">
        <f t="shared" si="28"/>
        <v>26.638507734421523</v>
      </c>
      <c r="S60" s="76">
        <f t="shared" si="29"/>
        <v>0.69191252448815654</v>
      </c>
      <c r="T60">
        <v>201</v>
      </c>
      <c r="U60" s="44">
        <f t="shared" si="30"/>
        <v>290.49914965578932</v>
      </c>
      <c r="V60">
        <v>41.5</v>
      </c>
      <c r="W60" s="77">
        <f t="shared" si="31"/>
        <v>159.3196490334881</v>
      </c>
      <c r="X60">
        <f t="shared" si="32"/>
        <v>1.44</v>
      </c>
      <c r="Y60" s="47">
        <f t="shared" si="33"/>
        <v>11.523636595131382</v>
      </c>
      <c r="Z60">
        <v>26.5</v>
      </c>
    </row>
    <row r="61" spans="1:26" ht="15" customHeight="1" thickBot="1">
      <c r="A61">
        <v>27</v>
      </c>
      <c r="B61" t="s">
        <v>167</v>
      </c>
      <c r="C61">
        <v>0.05</v>
      </c>
      <c r="D61">
        <v>80</v>
      </c>
      <c r="E61" s="37">
        <f t="shared" si="17"/>
        <v>27.071428571428573</v>
      </c>
      <c r="F61">
        <v>30</v>
      </c>
      <c r="G61" s="71">
        <f t="shared" si="18"/>
        <v>1.4285714285714286</v>
      </c>
      <c r="H61" s="39">
        <f t="shared" si="19"/>
        <v>80</v>
      </c>
      <c r="I61">
        <v>80</v>
      </c>
      <c r="J61" s="71">
        <f t="shared" si="20"/>
        <v>7.1428571428571438E-2</v>
      </c>
      <c r="K61" s="71">
        <f t="shared" si="21"/>
        <v>27.142857142857142</v>
      </c>
      <c r="L61" s="72">
        <f t="shared" si="22"/>
        <v>43.248354874878771</v>
      </c>
      <c r="M61" s="73">
        <f t="shared" si="23"/>
        <v>0.94065192244643969</v>
      </c>
      <c r="N61" s="73">
        <f t="shared" si="24"/>
        <v>0.72839065196066832</v>
      </c>
      <c r="O61" s="74">
        <f t="shared" si="25"/>
        <v>27.160934803933166</v>
      </c>
      <c r="P61" s="75">
        <f t="shared" si="26"/>
        <v>1.3728896675269222</v>
      </c>
      <c r="Q61" s="37">
        <f t="shared" si="27"/>
        <v>6.8644483376346113E-2</v>
      </c>
      <c r="R61" s="43">
        <f t="shared" si="28"/>
        <v>27.137288966752692</v>
      </c>
      <c r="S61" s="76">
        <f t="shared" si="29"/>
        <v>0.68516206705881821</v>
      </c>
      <c r="T61">
        <v>202</v>
      </c>
      <c r="U61" s="44">
        <f t="shared" si="30"/>
        <v>294.82075805381555</v>
      </c>
      <c r="V61">
        <v>41.5</v>
      </c>
      <c r="W61" s="77">
        <f t="shared" si="31"/>
        <v>160.18075011782233</v>
      </c>
      <c r="X61">
        <f t="shared" si="32"/>
        <v>1.44</v>
      </c>
      <c r="Y61" s="47">
        <f t="shared" si="33"/>
        <v>11.534530603684839</v>
      </c>
      <c r="Z61">
        <v>27</v>
      </c>
    </row>
    <row r="62" spans="1:26" ht="15" customHeight="1" thickBot="1">
      <c r="A62">
        <v>27.5</v>
      </c>
      <c r="B62" t="s">
        <v>167</v>
      </c>
      <c r="C62">
        <v>0.05</v>
      </c>
      <c r="D62">
        <v>80</v>
      </c>
      <c r="E62" s="37">
        <f t="shared" si="17"/>
        <v>27.571428571428573</v>
      </c>
      <c r="F62">
        <v>30</v>
      </c>
      <c r="G62" s="71">
        <f t="shared" si="18"/>
        <v>1.4285714285714286</v>
      </c>
      <c r="H62" s="39">
        <f t="shared" si="19"/>
        <v>80</v>
      </c>
      <c r="I62">
        <v>80</v>
      </c>
      <c r="J62" s="71">
        <f t="shared" si="20"/>
        <v>7.1428571428571438E-2</v>
      </c>
      <c r="K62" s="71">
        <f t="shared" si="21"/>
        <v>27.642857142857142</v>
      </c>
      <c r="L62" s="72">
        <f t="shared" si="22"/>
        <v>42.725366434244343</v>
      </c>
      <c r="M62" s="73">
        <f t="shared" si="23"/>
        <v>0.9235934678943023</v>
      </c>
      <c r="N62" s="73">
        <f t="shared" si="24"/>
        <v>0.73461429162903624</v>
      </c>
      <c r="O62" s="74">
        <f t="shared" si="25"/>
        <v>26.538570837096376</v>
      </c>
      <c r="P62" s="75">
        <f t="shared" si="26"/>
        <v>1.3612585698305166</v>
      </c>
      <c r="Q62" s="37">
        <f t="shared" si="27"/>
        <v>6.8062928491525829E-2</v>
      </c>
      <c r="R62" s="43">
        <f t="shared" si="28"/>
        <v>27.636125856983053</v>
      </c>
      <c r="S62" s="76">
        <f t="shared" si="29"/>
        <v>0.67848496117037793</v>
      </c>
      <c r="T62">
        <v>203</v>
      </c>
      <c r="U62" s="44">
        <f t="shared" si="30"/>
        <v>299.19601998226693</v>
      </c>
      <c r="V62">
        <v>41.5</v>
      </c>
      <c r="W62" s="77">
        <f t="shared" si="31"/>
        <v>161.04785170362723</v>
      </c>
      <c r="X62">
        <f t="shared" si="32"/>
        <v>1.44</v>
      </c>
      <c r="Y62" s="47">
        <f t="shared" si="33"/>
        <v>11.549140100361214</v>
      </c>
      <c r="Z62">
        <v>27.5</v>
      </c>
    </row>
    <row r="63" spans="1:26" ht="15" customHeight="1" thickBot="1">
      <c r="A63">
        <v>28</v>
      </c>
      <c r="B63" t="s">
        <v>167</v>
      </c>
      <c r="C63">
        <v>0.05</v>
      </c>
      <c r="D63">
        <v>80</v>
      </c>
      <c r="E63" s="37">
        <f t="shared" si="17"/>
        <v>28.071428571428573</v>
      </c>
      <c r="F63">
        <v>30</v>
      </c>
      <c r="G63" s="71">
        <f t="shared" si="18"/>
        <v>1.4285714285714286</v>
      </c>
      <c r="H63" s="39">
        <f t="shared" si="19"/>
        <v>80</v>
      </c>
      <c r="I63">
        <v>80</v>
      </c>
      <c r="J63" s="71">
        <f t="shared" si="20"/>
        <v>7.1428571428571438E-2</v>
      </c>
      <c r="K63" s="71">
        <f t="shared" si="21"/>
        <v>28.142857142857142</v>
      </c>
      <c r="L63" s="72">
        <f t="shared" si="22"/>
        <v>42.212514739515633</v>
      </c>
      <c r="M63" s="73">
        <f t="shared" si="23"/>
        <v>0.90714269365699918</v>
      </c>
      <c r="N63" s="73">
        <f t="shared" si="24"/>
        <v>0.74065786755898844</v>
      </c>
      <c r="O63" s="74">
        <f t="shared" si="25"/>
        <v>25.934213244101155</v>
      </c>
      <c r="P63" s="75">
        <f t="shared" si="26"/>
        <v>1.3501510532734018</v>
      </c>
      <c r="Q63" s="37">
        <f t="shared" si="27"/>
        <v>6.750755266367009E-2</v>
      </c>
      <c r="R63" s="43">
        <f t="shared" si="28"/>
        <v>28.135015105327341</v>
      </c>
      <c r="S63" s="76">
        <f t="shared" si="29"/>
        <v>0.67188237305570975</v>
      </c>
      <c r="T63">
        <v>204</v>
      </c>
      <c r="U63" s="44">
        <f t="shared" si="30"/>
        <v>303.62457504609239</v>
      </c>
      <c r="V63">
        <v>41.5</v>
      </c>
      <c r="W63" s="77">
        <f t="shared" si="31"/>
        <v>161.92078654338272</v>
      </c>
      <c r="X63">
        <f t="shared" si="32"/>
        <v>1.44</v>
      </c>
      <c r="Y63" s="47">
        <f t="shared" si="33"/>
        <v>11.567265709650691</v>
      </c>
      <c r="Z63">
        <v>28</v>
      </c>
    </row>
    <row r="64" spans="1:26" ht="15" customHeight="1" thickBot="1">
      <c r="A64">
        <v>28.5</v>
      </c>
      <c r="B64" t="s">
        <v>167</v>
      </c>
      <c r="C64">
        <v>0.05</v>
      </c>
      <c r="D64">
        <v>80</v>
      </c>
      <c r="E64" s="37">
        <f t="shared" si="17"/>
        <v>28.571428571428573</v>
      </c>
      <c r="F64">
        <v>30</v>
      </c>
      <c r="G64" s="71">
        <f t="shared" si="18"/>
        <v>1.4285714285714286</v>
      </c>
      <c r="H64" s="39">
        <f t="shared" si="19"/>
        <v>80</v>
      </c>
      <c r="I64">
        <v>80</v>
      </c>
      <c r="J64" s="71">
        <f t="shared" si="20"/>
        <v>7.1428571428571438E-2</v>
      </c>
      <c r="K64" s="71">
        <f t="shared" si="21"/>
        <v>28.642857142857142</v>
      </c>
      <c r="L64" s="72">
        <f t="shared" si="22"/>
        <v>41.709587738712059</v>
      </c>
      <c r="M64" s="73">
        <f t="shared" si="23"/>
        <v>0.89126769651800175</v>
      </c>
      <c r="N64" s="73">
        <f t="shared" si="24"/>
        <v>0.74652686203799323</v>
      </c>
      <c r="O64" s="74">
        <f t="shared" si="25"/>
        <v>25.347313796200677</v>
      </c>
      <c r="P64" s="75">
        <f t="shared" si="26"/>
        <v>1.3395365268840209</v>
      </c>
      <c r="Q64" s="37">
        <f t="shared" si="27"/>
        <v>6.6976826344201046E-2</v>
      </c>
      <c r="R64" s="43">
        <f t="shared" si="28"/>
        <v>28.633953652688401</v>
      </c>
      <c r="S64" s="76">
        <f t="shared" si="29"/>
        <v>0.66535527671741435</v>
      </c>
      <c r="T64">
        <v>205</v>
      </c>
      <c r="U64" s="44">
        <f t="shared" si="30"/>
        <v>308.10607080683957</v>
      </c>
      <c r="V64">
        <v>41.5</v>
      </c>
      <c r="W64" s="77">
        <f t="shared" si="31"/>
        <v>162.79939189321848</v>
      </c>
      <c r="X64">
        <f t="shared" si="32"/>
        <v>1.44</v>
      </c>
      <c r="Y64" s="47">
        <f t="shared" si="33"/>
        <v>11.588722090138114</v>
      </c>
      <c r="Z64">
        <v>28.5</v>
      </c>
    </row>
    <row r="65" spans="1:26" ht="15" customHeight="1" thickBot="1">
      <c r="A65">
        <v>29</v>
      </c>
      <c r="B65" t="s">
        <v>167</v>
      </c>
      <c r="C65">
        <v>0.05</v>
      </c>
      <c r="D65">
        <v>85</v>
      </c>
      <c r="E65" s="37">
        <f t="shared" si="17"/>
        <v>29.071428571428573</v>
      </c>
      <c r="F65">
        <v>30</v>
      </c>
      <c r="G65" s="71">
        <f t="shared" si="18"/>
        <v>1.4285714285714286</v>
      </c>
      <c r="H65" s="39">
        <f t="shared" si="19"/>
        <v>85</v>
      </c>
      <c r="I65">
        <v>85</v>
      </c>
      <c r="J65" s="71">
        <f t="shared" si="20"/>
        <v>7.1428571428571438E-2</v>
      </c>
      <c r="K65" s="71">
        <f t="shared" si="21"/>
        <v>29.142857142857142</v>
      </c>
      <c r="L65" s="72">
        <f t="shared" si="22"/>
        <v>42.943862393631889</v>
      </c>
      <c r="M65" s="73">
        <f t="shared" si="23"/>
        <v>0.93068494108145128</v>
      </c>
      <c r="N65" s="73">
        <f t="shared" si="24"/>
        <v>0.73202157166969295</v>
      </c>
      <c r="O65" s="74">
        <f t="shared" si="25"/>
        <v>26.7978428330307</v>
      </c>
      <c r="P65" s="75">
        <f t="shared" si="26"/>
        <v>1.3660799608938652</v>
      </c>
      <c r="Q65" s="37">
        <f t="shared" si="27"/>
        <v>6.8303998044693268E-2</v>
      </c>
      <c r="R65" s="43">
        <f t="shared" si="28"/>
        <v>29.136607996089385</v>
      </c>
      <c r="S65" s="76">
        <f t="shared" si="29"/>
        <v>0.68128145329975964</v>
      </c>
      <c r="T65">
        <v>206</v>
      </c>
      <c r="U65" s="44">
        <f t="shared" si="30"/>
        <v>302.37136062085233</v>
      </c>
      <c r="V65">
        <v>41.5</v>
      </c>
      <c r="W65" s="77">
        <f t="shared" si="31"/>
        <v>161.67423729603416</v>
      </c>
      <c r="X65">
        <f t="shared" si="32"/>
        <v>1.44</v>
      </c>
      <c r="Y65" s="47">
        <f t="shared" si="33"/>
        <v>12.264054711968774</v>
      </c>
      <c r="Z65">
        <v>29</v>
      </c>
    </row>
    <row r="66" spans="1:26" ht="15" customHeight="1" thickBot="1">
      <c r="A66">
        <v>29.5</v>
      </c>
      <c r="B66" t="s">
        <v>167</v>
      </c>
      <c r="C66">
        <v>0.05</v>
      </c>
      <c r="D66">
        <v>85</v>
      </c>
      <c r="E66" s="37">
        <f t="shared" si="17"/>
        <v>29.571428571428573</v>
      </c>
      <c r="F66">
        <v>30</v>
      </c>
      <c r="G66" s="71">
        <f t="shared" si="18"/>
        <v>1.4285714285714286</v>
      </c>
      <c r="H66" s="39">
        <f t="shared" si="19"/>
        <v>85</v>
      </c>
      <c r="I66">
        <v>85</v>
      </c>
      <c r="J66" s="71">
        <f t="shared" si="20"/>
        <v>7.1428571428571438E-2</v>
      </c>
      <c r="K66" s="71">
        <f t="shared" si="21"/>
        <v>29.642857142857142</v>
      </c>
      <c r="L66" s="72">
        <f t="shared" si="22"/>
        <v>42.456914994101147</v>
      </c>
      <c r="M66" s="73">
        <f t="shared" si="23"/>
        <v>0.91494872227089541</v>
      </c>
      <c r="N66" s="73">
        <f t="shared" si="24"/>
        <v>0.73778516393106219</v>
      </c>
      <c r="O66" s="74">
        <f t="shared" si="25"/>
        <v>26.221483606893781</v>
      </c>
      <c r="P66" s="75">
        <f t="shared" si="26"/>
        <v>1.3554081172787569</v>
      </c>
      <c r="Q66" s="37">
        <f t="shared" si="27"/>
        <v>6.7770405863937844E-2</v>
      </c>
      <c r="R66" s="43">
        <f t="shared" si="28"/>
        <v>29.635540811727875</v>
      </c>
      <c r="S66" s="76">
        <f t="shared" si="29"/>
        <v>0.67503559304914851</v>
      </c>
      <c r="T66">
        <v>207</v>
      </c>
      <c r="U66" s="44">
        <f t="shared" si="30"/>
        <v>306.65049685006551</v>
      </c>
      <c r="V66">
        <v>41.5</v>
      </c>
      <c r="W66" s="77">
        <f t="shared" si="31"/>
        <v>162.5145448355884</v>
      </c>
      <c r="X66">
        <f t="shared" si="32"/>
        <v>1.44</v>
      </c>
      <c r="Y66" s="47">
        <f t="shared" si="33"/>
        <v>12.280636768921337</v>
      </c>
      <c r="Z66">
        <v>29.5</v>
      </c>
    </row>
    <row r="67" spans="1:26" ht="15" customHeight="1" thickBot="1">
      <c r="A67">
        <v>30</v>
      </c>
      <c r="B67" t="s">
        <v>167</v>
      </c>
      <c r="C67">
        <v>0.05</v>
      </c>
      <c r="D67">
        <v>85</v>
      </c>
      <c r="E67" s="37">
        <f t="shared" si="17"/>
        <v>30.071428571428573</v>
      </c>
      <c r="F67">
        <v>30</v>
      </c>
      <c r="G67" s="71">
        <f t="shared" si="18"/>
        <v>1.4285714285714286</v>
      </c>
      <c r="H67" s="39">
        <f t="shared" si="19"/>
        <v>85</v>
      </c>
      <c r="I67">
        <v>85</v>
      </c>
      <c r="J67" s="71">
        <f t="shared" si="20"/>
        <v>7.1428571428571438E-2</v>
      </c>
      <c r="K67" s="71">
        <f t="shared" si="21"/>
        <v>30.142857142857142</v>
      </c>
      <c r="L67" s="72">
        <f t="shared" si="22"/>
        <v>41.97884876997378</v>
      </c>
      <c r="M67" s="73">
        <f t="shared" si="23"/>
        <v>0.89973579814762639</v>
      </c>
      <c r="N67" s="73">
        <f t="shared" si="24"/>
        <v>0.74339179851504322</v>
      </c>
      <c r="O67" s="74">
        <f t="shared" si="25"/>
        <v>25.660820148495677</v>
      </c>
      <c r="P67" s="75">
        <f t="shared" si="26"/>
        <v>1.3451856773205495</v>
      </c>
      <c r="Q67" s="37">
        <f t="shared" si="27"/>
        <v>6.7259283866027475E-2</v>
      </c>
      <c r="R67" s="43">
        <f t="shared" si="28"/>
        <v>30.134518567732055</v>
      </c>
      <c r="S67" s="76">
        <f t="shared" si="29"/>
        <v>0.66885621317333177</v>
      </c>
      <c r="T67">
        <v>208</v>
      </c>
      <c r="U67" s="44">
        <f t="shared" si="30"/>
        <v>310.97864668575266</v>
      </c>
      <c r="V67">
        <v>41.5</v>
      </c>
      <c r="W67" s="77">
        <f t="shared" si="31"/>
        <v>163.36008038727041</v>
      </c>
      <c r="X67">
        <f t="shared" si="32"/>
        <v>1.44</v>
      </c>
      <c r="Y67" s="47">
        <f t="shared" si="33"/>
        <v>12.30043460412884</v>
      </c>
      <c r="Z67">
        <v>30</v>
      </c>
    </row>
    <row r="68" spans="1:26" ht="15" customHeight="1" thickBot="1">
      <c r="A68">
        <v>30.5</v>
      </c>
      <c r="B68" t="s">
        <v>167</v>
      </c>
      <c r="C68">
        <v>0.05</v>
      </c>
      <c r="D68">
        <v>85</v>
      </c>
      <c r="E68" s="37">
        <f t="shared" si="17"/>
        <v>30.571428571428573</v>
      </c>
      <c r="F68">
        <v>30</v>
      </c>
      <c r="G68" s="71">
        <f t="shared" si="18"/>
        <v>1.4285714285714286</v>
      </c>
      <c r="H68" s="39">
        <f t="shared" si="19"/>
        <v>85</v>
      </c>
      <c r="I68">
        <v>85</v>
      </c>
      <c r="J68" s="71">
        <f t="shared" si="20"/>
        <v>7.1428571428571438E-2</v>
      </c>
      <c r="K68" s="71">
        <f t="shared" si="21"/>
        <v>30.642857142857142</v>
      </c>
      <c r="L68" s="72">
        <f t="shared" si="22"/>
        <v>41.509487722063469</v>
      </c>
      <c r="M68" s="73">
        <f t="shared" si="23"/>
        <v>0.88502049303773533</v>
      </c>
      <c r="N68" s="73">
        <f t="shared" si="24"/>
        <v>0.74884599413999398</v>
      </c>
      <c r="O68" s="74">
        <f t="shared" si="25"/>
        <v>25.115400586000604</v>
      </c>
      <c r="P68" s="75">
        <f t="shared" si="26"/>
        <v>1.3353880608634914</v>
      </c>
      <c r="Q68" s="37">
        <f t="shared" si="27"/>
        <v>6.6769403043174566E-2</v>
      </c>
      <c r="R68" s="43">
        <f t="shared" si="28"/>
        <v>30.633538806086349</v>
      </c>
      <c r="S68" s="76">
        <f t="shared" si="29"/>
        <v>0.66274405094311051</v>
      </c>
      <c r="T68">
        <v>209</v>
      </c>
      <c r="U68" s="44">
        <f t="shared" si="30"/>
        <v>315.35552782795241</v>
      </c>
      <c r="V68">
        <v>41.5</v>
      </c>
      <c r="W68" s="77">
        <f t="shared" si="31"/>
        <v>164.21070847094981</v>
      </c>
      <c r="X68">
        <f t="shared" si="32"/>
        <v>1.44</v>
      </c>
      <c r="Y68" s="47">
        <f t="shared" si="33"/>
        <v>12.323289846038026</v>
      </c>
      <c r="Z68">
        <v>30.5</v>
      </c>
    </row>
    <row r="69" spans="1:26" ht="15" customHeight="1" thickBot="1">
      <c r="A69">
        <v>31</v>
      </c>
      <c r="B69" t="s">
        <v>167</v>
      </c>
      <c r="C69">
        <v>0.05</v>
      </c>
      <c r="D69">
        <v>90</v>
      </c>
      <c r="E69" s="37">
        <f t="shared" si="17"/>
        <v>31.071428571428573</v>
      </c>
      <c r="F69">
        <v>30</v>
      </c>
      <c r="G69" s="71">
        <f t="shared" si="18"/>
        <v>1.4285714285714286</v>
      </c>
      <c r="H69" s="39">
        <f t="shared" si="19"/>
        <v>90</v>
      </c>
      <c r="I69">
        <v>90</v>
      </c>
      <c r="J69" s="71">
        <f t="shared" si="20"/>
        <v>7.1428571428571438E-2</v>
      </c>
      <c r="K69" s="71">
        <f t="shared" si="21"/>
        <v>31.142857142857142</v>
      </c>
      <c r="L69" s="72">
        <f t="shared" si="22"/>
        <v>42.676090034304735</v>
      </c>
      <c r="M69" s="73">
        <f t="shared" si="23"/>
        <v>0.92200106536345006</v>
      </c>
      <c r="N69" s="73">
        <f t="shared" si="24"/>
        <v>0.73519754096465317</v>
      </c>
      <c r="O69" s="74">
        <f t="shared" si="25"/>
        <v>26.480245903534676</v>
      </c>
      <c r="P69" s="75">
        <f t="shared" si="26"/>
        <v>1.3601786516966574</v>
      </c>
      <c r="Q69" s="37">
        <f t="shared" si="27"/>
        <v>6.8008932584832871E-2</v>
      </c>
      <c r="R69" s="43">
        <f t="shared" si="28"/>
        <v>31.136017865169666</v>
      </c>
      <c r="S69" s="76">
        <f t="shared" si="29"/>
        <v>0.67785291602199893</v>
      </c>
      <c r="T69">
        <v>210</v>
      </c>
      <c r="U69" s="44">
        <f t="shared" si="30"/>
        <v>309.80172104649427</v>
      </c>
      <c r="V69">
        <v>41.5</v>
      </c>
      <c r="W69" s="77">
        <f t="shared" si="31"/>
        <v>163.13059323622144</v>
      </c>
      <c r="X69">
        <f t="shared" si="32"/>
        <v>1.44</v>
      </c>
      <c r="Y69" s="47">
        <f t="shared" si="33"/>
        <v>12.994736402478491</v>
      </c>
      <c r="Z69">
        <v>31</v>
      </c>
    </row>
    <row r="70" spans="1:26" ht="15" customHeight="1" thickBot="1">
      <c r="A70">
        <v>31.5</v>
      </c>
      <c r="B70" t="s">
        <v>167</v>
      </c>
      <c r="C70">
        <v>0.05</v>
      </c>
      <c r="D70">
        <v>90</v>
      </c>
      <c r="E70" s="37">
        <f t="shared" si="17"/>
        <v>31.571428571428573</v>
      </c>
      <c r="F70">
        <v>30</v>
      </c>
      <c r="G70" s="71">
        <f t="shared" si="18"/>
        <v>1.4285714285714286</v>
      </c>
      <c r="H70" s="39">
        <f t="shared" si="19"/>
        <v>90</v>
      </c>
      <c r="I70">
        <v>90</v>
      </c>
      <c r="J70" s="71">
        <f t="shared" si="20"/>
        <v>7.1428571428571438E-2</v>
      </c>
      <c r="K70" s="71">
        <f t="shared" si="21"/>
        <v>31.642857142857142</v>
      </c>
      <c r="L70" s="72">
        <f t="shared" si="22"/>
        <v>42.220577167112033</v>
      </c>
      <c r="M70" s="73">
        <f t="shared" si="23"/>
        <v>0.90739923853642712</v>
      </c>
      <c r="N70" s="73">
        <f t="shared" si="24"/>
        <v>0.74056331569034561</v>
      </c>
      <c r="O70" s="74">
        <f t="shared" si="25"/>
        <v>25.943668430965438</v>
      </c>
      <c r="P70" s="75">
        <f t="shared" si="26"/>
        <v>1.3503234346246411</v>
      </c>
      <c r="Q70" s="37">
        <f t="shared" si="27"/>
        <v>6.7516171731232061E-2</v>
      </c>
      <c r="R70" s="43">
        <f t="shared" si="28"/>
        <v>31.635032343462463</v>
      </c>
      <c r="S70" s="76">
        <f t="shared" si="29"/>
        <v>0.67198658874543138</v>
      </c>
      <c r="T70">
        <v>211</v>
      </c>
      <c r="U70" s="44">
        <f t="shared" si="30"/>
        <v>313.99436169392527</v>
      </c>
      <c r="V70">
        <v>41.5</v>
      </c>
      <c r="W70" s="77">
        <f t="shared" si="31"/>
        <v>163.94664451465061</v>
      </c>
      <c r="X70">
        <f t="shared" si="32"/>
        <v>1.44</v>
      </c>
      <c r="Y70" s="47">
        <f t="shared" si="33"/>
        <v>13.01302205312532</v>
      </c>
      <c r="Z70">
        <v>31.5</v>
      </c>
    </row>
    <row r="71" spans="1:26" ht="15" customHeight="1" thickBot="1">
      <c r="A71">
        <v>32</v>
      </c>
      <c r="B71" t="s">
        <v>167</v>
      </c>
      <c r="C71">
        <v>0.05</v>
      </c>
      <c r="D71">
        <v>90</v>
      </c>
      <c r="E71" s="37">
        <f t="shared" si="17"/>
        <v>32.071428571428569</v>
      </c>
      <c r="F71">
        <v>30</v>
      </c>
      <c r="G71" s="71">
        <f t="shared" si="18"/>
        <v>1.4285714285714286</v>
      </c>
      <c r="H71" s="39">
        <f t="shared" si="19"/>
        <v>90</v>
      </c>
      <c r="I71">
        <v>90</v>
      </c>
      <c r="J71" s="71">
        <f t="shared" si="20"/>
        <v>7.1428571428571438E-2</v>
      </c>
      <c r="K71" s="71">
        <f t="shared" si="21"/>
        <v>32.142857142857146</v>
      </c>
      <c r="L71" s="72">
        <f t="shared" si="22"/>
        <v>41.772908653338824</v>
      </c>
      <c r="M71" s="73">
        <f t="shared" si="23"/>
        <v>0.89325270252360978</v>
      </c>
      <c r="N71" s="73">
        <f t="shared" si="24"/>
        <v>0.74579108330219257</v>
      </c>
      <c r="O71" s="74">
        <f t="shared" si="25"/>
        <v>25.420891669780744</v>
      </c>
      <c r="P71" s="75">
        <f t="shared" si="26"/>
        <v>1.3408580799494523</v>
      </c>
      <c r="Q71" s="37">
        <f t="shared" si="27"/>
        <v>6.7042903997472619E-2</v>
      </c>
      <c r="R71" s="43">
        <f t="shared" si="28"/>
        <v>32.134085807994943</v>
      </c>
      <c r="S71" s="76">
        <f t="shared" si="29"/>
        <v>0.66617990067769384</v>
      </c>
      <c r="T71">
        <v>212</v>
      </c>
      <c r="U71" s="44">
        <f t="shared" si="30"/>
        <v>318.23235703199077</v>
      </c>
      <c r="V71">
        <v>41.5</v>
      </c>
      <c r="W71" s="77">
        <f t="shared" si="31"/>
        <v>164.76741612029033</v>
      </c>
      <c r="X71">
        <f t="shared" si="32"/>
        <v>1.44</v>
      </c>
      <c r="Y71" s="47">
        <f t="shared" si="33"/>
        <v>13.034269133189953</v>
      </c>
      <c r="Z71">
        <v>32</v>
      </c>
    </row>
    <row r="72" spans="1:26" ht="15" customHeight="1" thickBot="1">
      <c r="A72">
        <v>32.5</v>
      </c>
      <c r="B72" t="s">
        <v>167</v>
      </c>
      <c r="C72">
        <v>0.05</v>
      </c>
      <c r="D72">
        <v>95</v>
      </c>
      <c r="E72" s="37">
        <f t="shared" si="17"/>
        <v>32.571428571428569</v>
      </c>
      <c r="F72">
        <v>30</v>
      </c>
      <c r="G72" s="71">
        <f t="shared" si="18"/>
        <v>1.4285714285714286</v>
      </c>
      <c r="H72" s="39">
        <f t="shared" si="19"/>
        <v>95</v>
      </c>
      <c r="I72">
        <v>95</v>
      </c>
      <c r="J72" s="71">
        <f t="shared" si="20"/>
        <v>7.1428571428571438E-2</v>
      </c>
      <c r="K72" s="71">
        <f t="shared" si="21"/>
        <v>32.642857142857146</v>
      </c>
      <c r="L72" s="72">
        <f t="shared" si="22"/>
        <v>42.873748022370158</v>
      </c>
      <c r="M72" s="73">
        <f t="shared" si="23"/>
        <v>0.92840385053958518</v>
      </c>
      <c r="N72" s="73">
        <f t="shared" si="24"/>
        <v>0.73285472560175202</v>
      </c>
      <c r="O72" s="74">
        <f t="shared" si="25"/>
        <v>26.714527439824803</v>
      </c>
      <c r="P72" s="75">
        <f t="shared" si="26"/>
        <v>1.364526917908448</v>
      </c>
      <c r="Q72" s="37">
        <f t="shared" si="27"/>
        <v>6.8226345895422411E-2</v>
      </c>
      <c r="R72" s="43">
        <f t="shared" si="28"/>
        <v>32.636452691790844</v>
      </c>
      <c r="S72" s="76">
        <f t="shared" si="29"/>
        <v>0.68038514913479753</v>
      </c>
      <c r="T72">
        <v>213</v>
      </c>
      <c r="U72" s="44">
        <f t="shared" si="30"/>
        <v>313.05797939719662</v>
      </c>
      <c r="V72">
        <v>41.5</v>
      </c>
      <c r="W72" s="77">
        <f t="shared" si="31"/>
        <v>163.7647407048816</v>
      </c>
      <c r="X72">
        <f t="shared" si="32"/>
        <v>1.44</v>
      </c>
      <c r="Y72" s="47">
        <f t="shared" si="33"/>
        <v>13.709463730930889</v>
      </c>
      <c r="Z72">
        <v>32.5</v>
      </c>
    </row>
    <row r="73" spans="1:26" ht="15" customHeight="1" thickBot="1">
      <c r="A73">
        <v>33</v>
      </c>
      <c r="B73" t="s">
        <v>167</v>
      </c>
      <c r="C73">
        <v>0.05</v>
      </c>
      <c r="D73">
        <v>95</v>
      </c>
      <c r="E73" s="37">
        <f t="shared" ref="E73:E104" si="34">A73+J73</f>
        <v>33.071428571428569</v>
      </c>
      <c r="F73">
        <v>30</v>
      </c>
      <c r="G73" s="71">
        <f t="shared" ref="G73:G104" si="35">100/(100-F73)</f>
        <v>1.4285714285714286</v>
      </c>
      <c r="H73" s="39">
        <f t="shared" ref="H73:H104" si="36">3.1415926*E73*M73</f>
        <v>95</v>
      </c>
      <c r="I73">
        <v>95</v>
      </c>
      <c r="J73" s="71">
        <f t="shared" ref="J73:J104" si="37">G73*C73</f>
        <v>7.1428571428571438E-2</v>
      </c>
      <c r="K73" s="71">
        <f t="shared" ref="K73:K104" si="38">A73+2*J73</f>
        <v>33.142857142857146</v>
      </c>
      <c r="L73" s="72">
        <f t="shared" ref="L73:L104" si="39">ATAN(I73/(3.1415926*(A73+J73)))*180/3.1415926</f>
        <v>42.438783022161047</v>
      </c>
      <c r="M73" s="73">
        <f t="shared" ref="M73:M104" si="40">I73/(3.1415926*(A73+J73))</f>
        <v>0.91436750722689164</v>
      </c>
      <c r="N73" s="73">
        <f t="shared" ref="N73:N104" si="41">COS(L73*3.1415926/180)</f>
        <v>0.73799875050556163</v>
      </c>
      <c r="O73" s="74">
        <f t="shared" ref="O73:O104" si="42">(D73-I73*N73)/D73*100</f>
        <v>26.200124949443836</v>
      </c>
      <c r="P73" s="75">
        <f t="shared" ref="P73:P104" si="43">100/(100-O73)</f>
        <v>1.3550158442882945</v>
      </c>
      <c r="Q73" s="37">
        <f t="shared" ref="Q73:Q104" si="44">P73*C73</f>
        <v>6.7750792214414726E-2</v>
      </c>
      <c r="R73" s="43">
        <f t="shared" ref="R73:R104" si="45">A73+2*Q73</f>
        <v>33.13550158442883</v>
      </c>
      <c r="S73" s="76">
        <f t="shared" ref="S73:S104" si="46">SIN(L73*3.1415926/180)</f>
        <v>0.67480207783633106</v>
      </c>
      <c r="T73">
        <v>214</v>
      </c>
      <c r="U73" s="44">
        <f t="shared" ref="U73:U104" si="47">T73/S73</f>
        <v>317.13002527521013</v>
      </c>
      <c r="V73">
        <v>41.5</v>
      </c>
      <c r="W73" s="77">
        <f t="shared" ref="W73:W104" si="48">2*SQRT((1000*U73*C73/3.1415926)+(V73*V73))</f>
        <v>164.55432171338529</v>
      </c>
      <c r="X73">
        <f t="shared" ref="X73:X104" si="49">1.44</f>
        <v>1.44</v>
      </c>
      <c r="Y73" s="47">
        <f t="shared" ref="Y73:Y104" si="50">3.14*(A73+Q73)*Q73*X73*P73</f>
        <v>13.726365137563889</v>
      </c>
      <c r="Z73">
        <v>33</v>
      </c>
    </row>
    <row r="74" spans="1:26" ht="15" customHeight="1" thickBot="1">
      <c r="A74">
        <v>33.5</v>
      </c>
      <c r="B74" t="s">
        <v>167</v>
      </c>
      <c r="C74">
        <v>0.05</v>
      </c>
      <c r="D74">
        <v>95</v>
      </c>
      <c r="E74" s="37">
        <f t="shared" si="34"/>
        <v>33.571428571428569</v>
      </c>
      <c r="F74">
        <v>30</v>
      </c>
      <c r="G74" s="71">
        <f t="shared" si="35"/>
        <v>1.4285714285714286</v>
      </c>
      <c r="H74" s="39">
        <f t="shared" si="36"/>
        <v>95</v>
      </c>
      <c r="I74">
        <v>95</v>
      </c>
      <c r="J74" s="71">
        <f t="shared" si="37"/>
        <v>7.1428571428571438E-2</v>
      </c>
      <c r="K74" s="71">
        <f t="shared" si="38"/>
        <v>33.642857142857146</v>
      </c>
      <c r="L74" s="72">
        <f t="shared" si="39"/>
        <v>42.010922543721449</v>
      </c>
      <c r="M74" s="73">
        <f t="shared" si="40"/>
        <v>0.90074926775755504</v>
      </c>
      <c r="N74" s="73">
        <f t="shared" si="41"/>
        <v>0.74301726106700061</v>
      </c>
      <c r="O74" s="74">
        <f t="shared" si="42"/>
        <v>25.698273893299945</v>
      </c>
      <c r="P74" s="75">
        <f t="shared" si="43"/>
        <v>1.3458637536414195</v>
      </c>
      <c r="Q74" s="37">
        <f t="shared" si="44"/>
        <v>6.7293187682070973E-2</v>
      </c>
      <c r="R74" s="43">
        <f t="shared" si="45"/>
        <v>33.634586375364144</v>
      </c>
      <c r="S74" s="76">
        <f t="shared" si="46"/>
        <v>0.66927225383732492</v>
      </c>
      <c r="T74">
        <v>215</v>
      </c>
      <c r="U74" s="44">
        <f t="shared" si="47"/>
        <v>321.24445435662489</v>
      </c>
      <c r="V74">
        <v>41.5</v>
      </c>
      <c r="W74" s="77">
        <f t="shared" si="48"/>
        <v>165.34829146242689</v>
      </c>
      <c r="X74">
        <f t="shared" si="49"/>
        <v>1.44</v>
      </c>
      <c r="Y74" s="47">
        <f t="shared" si="50"/>
        <v>13.746136759809341</v>
      </c>
      <c r="Z74">
        <v>33.5</v>
      </c>
    </row>
    <row r="75" spans="1:26" ht="15" customHeight="1" thickBot="1">
      <c r="A75">
        <v>34</v>
      </c>
      <c r="B75" t="s">
        <v>167</v>
      </c>
      <c r="C75">
        <v>0.05</v>
      </c>
      <c r="D75">
        <v>95</v>
      </c>
      <c r="E75" s="37">
        <f t="shared" si="34"/>
        <v>34.071428571428569</v>
      </c>
      <c r="F75">
        <v>30</v>
      </c>
      <c r="G75" s="71">
        <f t="shared" si="35"/>
        <v>1.4285714285714286</v>
      </c>
      <c r="H75" s="39">
        <f t="shared" si="36"/>
        <v>95</v>
      </c>
      <c r="I75">
        <v>95</v>
      </c>
      <c r="J75" s="71">
        <f t="shared" si="37"/>
        <v>7.1428571428571438E-2</v>
      </c>
      <c r="K75" s="71">
        <f t="shared" si="38"/>
        <v>34.142857142857146</v>
      </c>
      <c r="L75" s="72">
        <f t="shared" si="39"/>
        <v>41.590040500742681</v>
      </c>
      <c r="M75" s="73">
        <f t="shared" si="40"/>
        <v>0.88753072504413177</v>
      </c>
      <c r="N75" s="73">
        <f t="shared" si="41"/>
        <v>0.74791349509330318</v>
      </c>
      <c r="O75" s="74">
        <f t="shared" si="42"/>
        <v>25.208650490669683</v>
      </c>
      <c r="P75" s="75">
        <f t="shared" si="43"/>
        <v>1.337053023592319</v>
      </c>
      <c r="Q75" s="37">
        <f t="shared" si="44"/>
        <v>6.685265117961596E-2</v>
      </c>
      <c r="R75" s="43">
        <f t="shared" si="45"/>
        <v>34.133705302359232</v>
      </c>
      <c r="S75" s="76">
        <f t="shared" si="46"/>
        <v>0.66379620657045002</v>
      </c>
      <c r="T75">
        <v>216</v>
      </c>
      <c r="U75" s="44">
        <f t="shared" si="47"/>
        <v>325.40107620677628</v>
      </c>
      <c r="V75">
        <v>41.5</v>
      </c>
      <c r="W75" s="77">
        <f t="shared" si="48"/>
        <v>166.14655055000009</v>
      </c>
      <c r="X75">
        <f t="shared" si="49"/>
        <v>1.44</v>
      </c>
      <c r="Y75" s="47">
        <f t="shared" si="50"/>
        <v>13.768651813094086</v>
      </c>
      <c r="Z75">
        <v>34</v>
      </c>
    </row>
    <row r="76" spans="1:26" ht="15" customHeight="1" thickBot="1">
      <c r="A76">
        <v>34.5</v>
      </c>
      <c r="B76" t="s">
        <v>167</v>
      </c>
      <c r="C76">
        <v>0.05</v>
      </c>
      <c r="D76">
        <v>100</v>
      </c>
      <c r="E76" s="37">
        <f t="shared" si="34"/>
        <v>34.571428571428569</v>
      </c>
      <c r="F76">
        <v>30</v>
      </c>
      <c r="G76" s="71">
        <f t="shared" si="35"/>
        <v>1.4285714285714286</v>
      </c>
      <c r="H76" s="39">
        <f t="shared" si="36"/>
        <v>100</v>
      </c>
      <c r="I76">
        <v>100</v>
      </c>
      <c r="J76" s="71">
        <f t="shared" si="37"/>
        <v>7.1428571428571438E-2</v>
      </c>
      <c r="K76" s="71">
        <f t="shared" si="38"/>
        <v>34.642857142857146</v>
      </c>
      <c r="L76" s="72">
        <f t="shared" si="39"/>
        <v>42.636734988992686</v>
      </c>
      <c r="M76" s="73">
        <f t="shared" si="40"/>
        <v>0.92073109144421672</v>
      </c>
      <c r="N76" s="73">
        <f t="shared" si="41"/>
        <v>0.7356629677896146</v>
      </c>
      <c r="O76" s="74">
        <f t="shared" si="42"/>
        <v>26.433703221038542</v>
      </c>
      <c r="P76" s="75">
        <f t="shared" si="43"/>
        <v>1.359318116833605</v>
      </c>
      <c r="Q76" s="37">
        <f t="shared" si="44"/>
        <v>6.796590584168026E-2</v>
      </c>
      <c r="R76" s="43">
        <f t="shared" si="45"/>
        <v>34.635931811683363</v>
      </c>
      <c r="S76" s="76">
        <f t="shared" si="46"/>
        <v>0.67734776726802348</v>
      </c>
      <c r="T76">
        <v>217</v>
      </c>
      <c r="U76" s="44">
        <f t="shared" si="47"/>
        <v>320.367188741517</v>
      </c>
      <c r="V76">
        <v>41.5</v>
      </c>
      <c r="W76" s="77">
        <f t="shared" si="48"/>
        <v>165.17932384221524</v>
      </c>
      <c r="X76">
        <f t="shared" si="49"/>
        <v>1.44</v>
      </c>
      <c r="Y76" s="47">
        <f t="shared" si="50"/>
        <v>14.440365300361554</v>
      </c>
      <c r="Z76">
        <v>34.5</v>
      </c>
    </row>
    <row r="77" spans="1:26" ht="15" customHeight="1" thickBot="1">
      <c r="A77">
        <v>35</v>
      </c>
      <c r="B77" t="s">
        <v>167</v>
      </c>
      <c r="C77">
        <v>0.05</v>
      </c>
      <c r="D77">
        <v>100</v>
      </c>
      <c r="E77" s="37">
        <f t="shared" si="34"/>
        <v>35.071428571428569</v>
      </c>
      <c r="F77">
        <v>30</v>
      </c>
      <c r="G77" s="71">
        <f t="shared" si="35"/>
        <v>1.4285714285714286</v>
      </c>
      <c r="H77" s="39">
        <f t="shared" si="36"/>
        <v>100</v>
      </c>
      <c r="I77">
        <v>100</v>
      </c>
      <c r="J77" s="71">
        <f t="shared" si="37"/>
        <v>7.1428571428571438E-2</v>
      </c>
      <c r="K77" s="71">
        <f t="shared" si="38"/>
        <v>35.142857142857146</v>
      </c>
      <c r="L77" s="72">
        <f t="shared" si="39"/>
        <v>42.227028910124147</v>
      </c>
      <c r="M77" s="73">
        <f t="shared" si="40"/>
        <v>0.90760457893890201</v>
      </c>
      <c r="N77" s="73">
        <f t="shared" si="41"/>
        <v>0.74048764251268828</v>
      </c>
      <c r="O77" s="74">
        <f t="shared" si="42"/>
        <v>25.951235748731165</v>
      </c>
      <c r="P77" s="75">
        <f t="shared" si="43"/>
        <v>1.350461429182952</v>
      </c>
      <c r="Q77" s="37">
        <f t="shared" si="44"/>
        <v>6.7523071459147599E-2</v>
      </c>
      <c r="R77" s="43">
        <f t="shared" si="45"/>
        <v>35.135046142918299</v>
      </c>
      <c r="S77" s="76">
        <f t="shared" si="46"/>
        <v>0.67206997499218868</v>
      </c>
      <c r="T77">
        <v>218</v>
      </c>
      <c r="U77" s="44">
        <f t="shared" si="47"/>
        <v>324.37098533159997</v>
      </c>
      <c r="V77">
        <v>41.5</v>
      </c>
      <c r="W77" s="77">
        <f t="shared" si="48"/>
        <v>165.94908447080337</v>
      </c>
      <c r="X77">
        <f t="shared" si="49"/>
        <v>1.44</v>
      </c>
      <c r="Y77" s="47">
        <f t="shared" si="50"/>
        <v>14.458778523437713</v>
      </c>
      <c r="Z77">
        <v>35</v>
      </c>
    </row>
    <row r="78" spans="1:26" ht="15" customHeight="1" thickBot="1">
      <c r="A78">
        <v>35.5</v>
      </c>
      <c r="B78" t="s">
        <v>167</v>
      </c>
      <c r="C78">
        <v>0.05</v>
      </c>
      <c r="D78">
        <v>100</v>
      </c>
      <c r="E78" s="37">
        <f t="shared" si="34"/>
        <v>35.571428571428569</v>
      </c>
      <c r="F78">
        <v>30</v>
      </c>
      <c r="G78" s="71">
        <f t="shared" si="35"/>
        <v>1.4285714285714286</v>
      </c>
      <c r="H78" s="39">
        <f t="shared" si="36"/>
        <v>100</v>
      </c>
      <c r="I78">
        <v>100</v>
      </c>
      <c r="J78" s="71">
        <f t="shared" si="37"/>
        <v>7.1428571428571438E-2</v>
      </c>
      <c r="K78" s="71">
        <f t="shared" si="38"/>
        <v>35.642857142857146</v>
      </c>
      <c r="L78" s="72">
        <f t="shared" si="39"/>
        <v>41.823678457453468</v>
      </c>
      <c r="M78" s="73">
        <f t="shared" si="40"/>
        <v>0.89484708485743147</v>
      </c>
      <c r="N78" s="73">
        <f t="shared" si="41"/>
        <v>0.74520048843032183</v>
      </c>
      <c r="O78" s="74">
        <f t="shared" si="42"/>
        <v>25.479951156967818</v>
      </c>
      <c r="P78" s="75">
        <f t="shared" si="43"/>
        <v>1.3419207522345882</v>
      </c>
      <c r="Q78" s="37">
        <f t="shared" si="44"/>
        <v>6.7096037611729414E-2</v>
      </c>
      <c r="R78" s="43">
        <f t="shared" si="45"/>
        <v>35.63419207522346</v>
      </c>
      <c r="S78" s="76">
        <f t="shared" si="46"/>
        <v>0.66684048470620749</v>
      </c>
      <c r="T78">
        <v>219</v>
      </c>
      <c r="U78" s="44">
        <f t="shared" si="47"/>
        <v>328.4143734861654</v>
      </c>
      <c r="V78">
        <v>41.5</v>
      </c>
      <c r="W78" s="77">
        <f t="shared" si="48"/>
        <v>166.72285004085103</v>
      </c>
      <c r="X78">
        <f t="shared" si="49"/>
        <v>1.44</v>
      </c>
      <c r="Y78" s="47">
        <f t="shared" si="50"/>
        <v>14.479857582484984</v>
      </c>
      <c r="Z78">
        <v>35.5</v>
      </c>
    </row>
    <row r="79" spans="1:26" ht="15" customHeight="1" thickBot="1">
      <c r="A79">
        <v>36</v>
      </c>
      <c r="B79" t="s">
        <v>167</v>
      </c>
      <c r="C79">
        <v>0.05</v>
      </c>
      <c r="D79">
        <v>100</v>
      </c>
      <c r="E79" s="37">
        <f t="shared" si="34"/>
        <v>36.071428571428569</v>
      </c>
      <c r="F79">
        <v>30</v>
      </c>
      <c r="G79" s="71">
        <f t="shared" si="35"/>
        <v>1.4285714285714286</v>
      </c>
      <c r="H79" s="39">
        <f t="shared" si="36"/>
        <v>100</v>
      </c>
      <c r="I79">
        <v>100</v>
      </c>
      <c r="J79" s="71">
        <f t="shared" si="37"/>
        <v>7.1428571428571438E-2</v>
      </c>
      <c r="K79" s="71">
        <f t="shared" si="38"/>
        <v>36.142857142857146</v>
      </c>
      <c r="L79" s="72">
        <f t="shared" si="39"/>
        <v>41.426575941928064</v>
      </c>
      <c r="M79" s="73">
        <f t="shared" si="40"/>
        <v>0.88244326387920968</v>
      </c>
      <c r="N79" s="73">
        <f t="shared" si="41"/>
        <v>0.74980425574364407</v>
      </c>
      <c r="O79" s="74">
        <f t="shared" si="42"/>
        <v>25.0195744256356</v>
      </c>
      <c r="P79" s="75">
        <f t="shared" si="43"/>
        <v>1.3336814139687907</v>
      </c>
      <c r="Q79" s="37">
        <f t="shared" si="44"/>
        <v>6.668407069843954E-2</v>
      </c>
      <c r="R79" s="43">
        <f t="shared" si="45"/>
        <v>36.133368141396879</v>
      </c>
      <c r="S79" s="76">
        <f t="shared" si="46"/>
        <v>0.66165971470894314</v>
      </c>
      <c r="T79">
        <v>220</v>
      </c>
      <c r="U79" s="44">
        <f t="shared" si="47"/>
        <v>332.49719623141266</v>
      </c>
      <c r="V79">
        <v>41.5</v>
      </c>
      <c r="W79" s="77">
        <f t="shared" si="48"/>
        <v>167.50053521958523</v>
      </c>
      <c r="X79">
        <f t="shared" si="49"/>
        <v>1.44</v>
      </c>
      <c r="Y79" s="47">
        <f t="shared" si="50"/>
        <v>14.503491274064784</v>
      </c>
      <c r="Z79">
        <v>36</v>
      </c>
    </row>
    <row r="80" spans="1:26" ht="15" customHeight="1" thickBot="1">
      <c r="A80">
        <v>36.5</v>
      </c>
      <c r="B80" t="s">
        <v>167</v>
      </c>
      <c r="C80">
        <v>0.05</v>
      </c>
      <c r="D80">
        <v>100</v>
      </c>
      <c r="E80" s="37">
        <f t="shared" si="34"/>
        <v>36.571428571428569</v>
      </c>
      <c r="F80">
        <v>30</v>
      </c>
      <c r="G80" s="71">
        <f t="shared" si="35"/>
        <v>1.4285714285714286</v>
      </c>
      <c r="H80" s="39">
        <f t="shared" si="36"/>
        <v>100</v>
      </c>
      <c r="I80">
        <v>100</v>
      </c>
      <c r="J80" s="71">
        <f t="shared" si="37"/>
        <v>7.1428571428571438E-2</v>
      </c>
      <c r="K80" s="71">
        <f t="shared" si="38"/>
        <v>36.642857142857146</v>
      </c>
      <c r="L80" s="72">
        <f t="shared" si="39"/>
        <v>41.035614583266977</v>
      </c>
      <c r="M80" s="73">
        <f t="shared" si="40"/>
        <v>0.87037860988086113</v>
      </c>
      <c r="N80" s="73">
        <f t="shared" si="41"/>
        <v>0.75430164159580715</v>
      </c>
      <c r="O80" s="74">
        <f t="shared" si="42"/>
        <v>24.569835840419287</v>
      </c>
      <c r="P80" s="75">
        <f t="shared" si="43"/>
        <v>1.3257295819804811</v>
      </c>
      <c r="Q80" s="37">
        <f t="shared" si="44"/>
        <v>6.6286479099024062E-2</v>
      </c>
      <c r="R80" s="43">
        <f t="shared" si="45"/>
        <v>36.632572958198047</v>
      </c>
      <c r="S80" s="76">
        <f t="shared" si="46"/>
        <v>0.65652801424301044</v>
      </c>
      <c r="T80">
        <v>221</v>
      </c>
      <c r="U80" s="44">
        <f t="shared" si="47"/>
        <v>336.61929910914358</v>
      </c>
      <c r="V80">
        <v>41.5</v>
      </c>
      <c r="W80" s="77">
        <f t="shared" si="48"/>
        <v>168.28205644956213</v>
      </c>
      <c r="X80">
        <f t="shared" si="49"/>
        <v>1.44</v>
      </c>
      <c r="Y80" s="47">
        <f t="shared" si="50"/>
        <v>14.529574501565389</v>
      </c>
      <c r="Z80">
        <v>36.5</v>
      </c>
    </row>
    <row r="81" spans="1:26" ht="15" customHeight="1" thickBot="1">
      <c r="A81">
        <v>37</v>
      </c>
      <c r="B81" t="s">
        <v>167</v>
      </c>
      <c r="C81">
        <v>0.05</v>
      </c>
      <c r="D81">
        <v>100</v>
      </c>
      <c r="E81" s="37">
        <f t="shared" si="34"/>
        <v>37.071428571428569</v>
      </c>
      <c r="F81">
        <v>30</v>
      </c>
      <c r="G81" s="71">
        <f t="shared" si="35"/>
        <v>1.4285714285714286</v>
      </c>
      <c r="H81" s="39">
        <f t="shared" si="36"/>
        <v>100</v>
      </c>
      <c r="I81">
        <v>100</v>
      </c>
      <c r="J81" s="71">
        <f t="shared" si="37"/>
        <v>7.1428571428571438E-2</v>
      </c>
      <c r="K81" s="71">
        <f t="shared" si="38"/>
        <v>37.142857142857146</v>
      </c>
      <c r="L81" s="72">
        <f t="shared" si="39"/>
        <v>40.650688590220227</v>
      </c>
      <c r="M81" s="73">
        <f t="shared" si="40"/>
        <v>0.85863939934296896</v>
      </c>
      <c r="N81" s="73">
        <f t="shared" si="41"/>
        <v>0.7586952894152994</v>
      </c>
      <c r="O81" s="74">
        <f t="shared" si="42"/>
        <v>24.130471058470064</v>
      </c>
      <c r="P81" s="75">
        <f t="shared" si="43"/>
        <v>1.318052206137547</v>
      </c>
      <c r="Q81" s="37">
        <f t="shared" si="44"/>
        <v>6.5902610306877357E-2</v>
      </c>
      <c r="R81" s="43">
        <f t="shared" si="45"/>
        <v>37.131805220613757</v>
      </c>
      <c r="S81" s="76">
        <f t="shared" si="46"/>
        <v>0.65144566758789269</v>
      </c>
      <c r="T81">
        <v>222</v>
      </c>
      <c r="U81" s="44">
        <f t="shared" si="47"/>
        <v>340.7805302044593</v>
      </c>
      <c r="V81">
        <v>41.5</v>
      </c>
      <c r="W81" s="77">
        <f t="shared" si="48"/>
        <v>169.06733193221984</v>
      </c>
      <c r="X81">
        <f t="shared" si="49"/>
        <v>1.44</v>
      </c>
      <c r="Y81" s="47">
        <f t="shared" si="50"/>
        <v>14.558007861226425</v>
      </c>
      <c r="Z81">
        <v>37</v>
      </c>
    </row>
    <row r="82" spans="1:26" ht="15" customHeight="1" thickBot="1">
      <c r="A82">
        <v>37.5</v>
      </c>
      <c r="B82" t="s">
        <v>167</v>
      </c>
      <c r="C82">
        <v>0.05</v>
      </c>
      <c r="D82">
        <v>100</v>
      </c>
      <c r="E82" s="37">
        <f t="shared" si="34"/>
        <v>37.571428571428569</v>
      </c>
      <c r="F82">
        <v>30</v>
      </c>
      <c r="G82" s="71">
        <f t="shared" si="35"/>
        <v>1.4285714285714286</v>
      </c>
      <c r="H82" s="39">
        <f t="shared" si="36"/>
        <v>100</v>
      </c>
      <c r="I82">
        <v>100</v>
      </c>
      <c r="J82" s="71">
        <f t="shared" si="37"/>
        <v>7.1428571428571438E-2</v>
      </c>
      <c r="K82" s="71">
        <f t="shared" si="38"/>
        <v>37.642857142857146</v>
      </c>
      <c r="L82" s="72">
        <f t="shared" si="39"/>
        <v>40.271693232756924</v>
      </c>
      <c r="M82" s="73">
        <f t="shared" si="40"/>
        <v>0.84721263927566715</v>
      </c>
      <c r="N82" s="73">
        <f t="shared" si="41"/>
        <v>0.76298778844662563</v>
      </c>
      <c r="O82" s="74">
        <f t="shared" si="42"/>
        <v>23.701221155337436</v>
      </c>
      <c r="P82" s="75">
        <f t="shared" si="43"/>
        <v>1.3106369658103045</v>
      </c>
      <c r="Q82" s="37">
        <f t="shared" si="44"/>
        <v>6.5531848290515227E-2</v>
      </c>
      <c r="R82" s="43">
        <f t="shared" si="45"/>
        <v>37.63106369658103</v>
      </c>
      <c r="S82" s="76">
        <f t="shared" si="46"/>
        <v>0.64641289798497004</v>
      </c>
      <c r="T82">
        <v>223</v>
      </c>
      <c r="U82" s="44">
        <f t="shared" si="47"/>
        <v>344.98074016645791</v>
      </c>
      <c r="V82">
        <v>41.5</v>
      </c>
      <c r="W82" s="77">
        <f t="shared" si="48"/>
        <v>169.85628160957432</v>
      </c>
      <c r="X82">
        <f t="shared" si="49"/>
        <v>1.44</v>
      </c>
      <c r="Y82" s="47">
        <f t="shared" si="50"/>
        <v>14.588697261424029</v>
      </c>
      <c r="Z82">
        <v>37.5</v>
      </c>
    </row>
    <row r="83" spans="1:26" ht="15" customHeight="1" thickBot="1">
      <c r="A83">
        <v>38</v>
      </c>
      <c r="B83" t="s">
        <v>167</v>
      </c>
      <c r="C83">
        <v>0.05</v>
      </c>
      <c r="D83">
        <v>100</v>
      </c>
      <c r="E83" s="37">
        <f t="shared" si="34"/>
        <v>38.071428571428569</v>
      </c>
      <c r="F83">
        <v>30</v>
      </c>
      <c r="G83" s="71">
        <f t="shared" si="35"/>
        <v>1.4285714285714286</v>
      </c>
      <c r="H83" s="39">
        <f t="shared" si="36"/>
        <v>100</v>
      </c>
      <c r="I83">
        <v>100</v>
      </c>
      <c r="J83" s="71">
        <f t="shared" si="37"/>
        <v>7.1428571428571438E-2</v>
      </c>
      <c r="K83" s="71">
        <f t="shared" si="38"/>
        <v>38.142857142857146</v>
      </c>
      <c r="L83" s="72">
        <f t="shared" si="39"/>
        <v>39.898524906680272</v>
      </c>
      <c r="M83" s="73">
        <f t="shared" si="40"/>
        <v>0.83608601924765635</v>
      </c>
      <c r="N83" s="73">
        <f t="shared" si="41"/>
        <v>0.76718167345199773</v>
      </c>
      <c r="O83" s="74">
        <f t="shared" si="42"/>
        <v>23.281832654800226</v>
      </c>
      <c r="P83" s="75">
        <f t="shared" si="43"/>
        <v>1.3034722212542134</v>
      </c>
      <c r="Q83" s="37">
        <f t="shared" si="44"/>
        <v>6.5173611062710676E-2</v>
      </c>
      <c r="R83" s="43">
        <f t="shared" si="45"/>
        <v>38.130347222125422</v>
      </c>
      <c r="S83" s="76">
        <f t="shared" si="46"/>
        <v>0.64142987139623631</v>
      </c>
      <c r="T83">
        <v>224</v>
      </c>
      <c r="U83" s="44">
        <f t="shared" si="47"/>
        <v>349.21978222250027</v>
      </c>
      <c r="V83">
        <v>41.5</v>
      </c>
      <c r="W83" s="77">
        <f t="shared" si="48"/>
        <v>170.64882714426096</v>
      </c>
      <c r="X83">
        <f t="shared" si="49"/>
        <v>1.44</v>
      </c>
      <c r="Y83" s="47">
        <f t="shared" si="50"/>
        <v>14.621553572136865</v>
      </c>
      <c r="Z83">
        <v>38</v>
      </c>
    </row>
    <row r="84" spans="1:26" ht="15" customHeight="1" thickBot="1">
      <c r="A84">
        <v>38.5</v>
      </c>
      <c r="B84" t="s">
        <v>167</v>
      </c>
      <c r="C84">
        <v>0.05</v>
      </c>
      <c r="D84">
        <v>100</v>
      </c>
      <c r="E84" s="37">
        <f t="shared" si="34"/>
        <v>38.571428571428569</v>
      </c>
      <c r="F84">
        <v>30</v>
      </c>
      <c r="G84" s="71">
        <f t="shared" si="35"/>
        <v>1.4285714285714286</v>
      </c>
      <c r="H84" s="39">
        <f t="shared" si="36"/>
        <v>100</v>
      </c>
      <c r="I84">
        <v>100</v>
      </c>
      <c r="J84" s="71">
        <f t="shared" si="37"/>
        <v>7.1428571428571438E-2</v>
      </c>
      <c r="K84" s="71">
        <f t="shared" si="38"/>
        <v>38.642857142857146</v>
      </c>
      <c r="L84" s="72">
        <f t="shared" si="39"/>
        <v>39.531081191148523</v>
      </c>
      <c r="M84" s="73">
        <f t="shared" si="40"/>
        <v>0.82524786714629794</v>
      </c>
      <c r="N84" s="73">
        <f t="shared" si="41"/>
        <v>0.77127942456865206</v>
      </c>
      <c r="O84" s="74">
        <f t="shared" si="42"/>
        <v>22.872057543134787</v>
      </c>
      <c r="P84" s="75">
        <f t="shared" si="43"/>
        <v>1.2965469687710947</v>
      </c>
      <c r="Q84" s="37">
        <f t="shared" si="44"/>
        <v>6.4827348438554741E-2</v>
      </c>
      <c r="R84" s="43">
        <f t="shared" si="45"/>
        <v>38.629654696877111</v>
      </c>
      <c r="S84" s="76">
        <f t="shared" si="46"/>
        <v>0.63649670009910408</v>
      </c>
      <c r="T84">
        <v>225</v>
      </c>
      <c r="U84" s="44">
        <f t="shared" si="47"/>
        <v>353.49751218657843</v>
      </c>
      <c r="V84">
        <v>41.5</v>
      </c>
      <c r="W84" s="77">
        <f t="shared" si="48"/>
        <v>171.44489189811236</v>
      </c>
      <c r="X84">
        <f t="shared" si="49"/>
        <v>1.44</v>
      </c>
      <c r="Y84" s="47">
        <f t="shared" si="50"/>
        <v>14.656492301835383</v>
      </c>
      <c r="Z84">
        <v>38.5</v>
      </c>
    </row>
    <row r="85" spans="1:26" ht="15" customHeight="1" thickBot="1">
      <c r="A85">
        <v>39</v>
      </c>
      <c r="B85" t="s">
        <v>167</v>
      </c>
      <c r="C85">
        <v>0.05</v>
      </c>
      <c r="D85">
        <v>100</v>
      </c>
      <c r="E85" s="37">
        <f t="shared" si="34"/>
        <v>39.071428571428569</v>
      </c>
      <c r="F85">
        <v>30</v>
      </c>
      <c r="G85" s="71">
        <f t="shared" si="35"/>
        <v>1.4285714285714286</v>
      </c>
      <c r="H85" s="39">
        <f t="shared" si="36"/>
        <v>100</v>
      </c>
      <c r="I85">
        <v>100</v>
      </c>
      <c r="J85" s="71">
        <f t="shared" si="37"/>
        <v>7.1428571428571438E-2</v>
      </c>
      <c r="K85" s="71">
        <f t="shared" si="38"/>
        <v>39.142857142857146</v>
      </c>
      <c r="L85" s="72">
        <f t="shared" si="39"/>
        <v>39.169260899560868</v>
      </c>
      <c r="M85" s="73">
        <f t="shared" si="40"/>
        <v>0.81468710833455371</v>
      </c>
      <c r="N85" s="73">
        <f t="shared" si="41"/>
        <v>0.77528346730736697</v>
      </c>
      <c r="O85" s="74">
        <f t="shared" si="42"/>
        <v>22.4716532692633</v>
      </c>
      <c r="P85" s="75">
        <f t="shared" si="43"/>
        <v>1.2898507993122759</v>
      </c>
      <c r="Q85" s="37">
        <f t="shared" si="44"/>
        <v>6.4492539965613799E-2</v>
      </c>
      <c r="R85" s="43">
        <f t="shared" si="45"/>
        <v>39.128985079931226</v>
      </c>
      <c r="S85" s="76">
        <f t="shared" si="46"/>
        <v>0.6316134461202253</v>
      </c>
      <c r="T85">
        <v>226</v>
      </c>
      <c r="U85" s="44">
        <f t="shared" si="47"/>
        <v>357.81378846228955</v>
      </c>
      <c r="V85">
        <v>41.5</v>
      </c>
      <c r="W85" s="77">
        <f t="shared" si="48"/>
        <v>172.24440090944785</v>
      </c>
      <c r="X85">
        <f t="shared" si="49"/>
        <v>1.44</v>
      </c>
      <c r="Y85" s="47">
        <f t="shared" si="50"/>
        <v>14.693433299321233</v>
      </c>
      <c r="Z85">
        <v>39</v>
      </c>
    </row>
    <row r="86" spans="1:26" ht="15" customHeight="1" thickBot="1">
      <c r="A86">
        <v>39.5</v>
      </c>
      <c r="B86" t="s">
        <v>167</v>
      </c>
      <c r="C86">
        <v>0.05</v>
      </c>
      <c r="D86">
        <v>100</v>
      </c>
      <c r="E86" s="37">
        <f t="shared" si="34"/>
        <v>39.571428571428569</v>
      </c>
      <c r="F86">
        <v>30</v>
      </c>
      <c r="G86" s="71">
        <f t="shared" si="35"/>
        <v>1.4285714285714286</v>
      </c>
      <c r="H86" s="39">
        <f t="shared" si="36"/>
        <v>100</v>
      </c>
      <c r="I86">
        <v>100</v>
      </c>
      <c r="J86" s="71">
        <f t="shared" si="37"/>
        <v>7.1428571428571438E-2</v>
      </c>
      <c r="K86" s="71">
        <f t="shared" si="38"/>
        <v>39.642857142857146</v>
      </c>
      <c r="L86" s="72">
        <f t="shared" si="39"/>
        <v>38.812964124247443</v>
      </c>
      <c r="M86" s="73">
        <f t="shared" si="40"/>
        <v>0.80439322790433376</v>
      </c>
      <c r="N86" s="73">
        <f t="shared" si="41"/>
        <v>0.7791961726786748</v>
      </c>
      <c r="O86" s="74">
        <f t="shared" si="42"/>
        <v>22.08038273213252</v>
      </c>
      <c r="P86" s="75">
        <f t="shared" si="43"/>
        <v>1.2833738602209233</v>
      </c>
      <c r="Q86" s="37">
        <f t="shared" si="44"/>
        <v>6.4168693011046163E-2</v>
      </c>
      <c r="R86" s="43">
        <f t="shared" si="45"/>
        <v>39.628337386022089</v>
      </c>
      <c r="S86" s="76">
        <f t="shared" si="46"/>
        <v>0.62678012451170206</v>
      </c>
      <c r="T86">
        <v>227</v>
      </c>
      <c r="U86" s="44">
        <f t="shared" si="47"/>
        <v>362.16847204088691</v>
      </c>
      <c r="V86">
        <v>41.5</v>
      </c>
      <c r="W86" s="77">
        <f t="shared" si="48"/>
        <v>173.04728086923973</v>
      </c>
      <c r="X86">
        <f t="shared" si="49"/>
        <v>1.44</v>
      </c>
      <c r="Y86" s="47">
        <f t="shared" si="50"/>
        <v>14.732300478295356</v>
      </c>
      <c r="Z86">
        <v>39.5</v>
      </c>
    </row>
    <row r="87" spans="1:26" ht="15" customHeight="1" thickBot="1">
      <c r="A87">
        <v>40</v>
      </c>
      <c r="B87" t="s">
        <v>167</v>
      </c>
      <c r="C87">
        <v>0.05</v>
      </c>
      <c r="D87">
        <v>100</v>
      </c>
      <c r="E87" s="37">
        <f t="shared" si="34"/>
        <v>40.071428571428569</v>
      </c>
      <c r="F87">
        <v>30</v>
      </c>
      <c r="G87" s="71">
        <f t="shared" si="35"/>
        <v>1.4285714285714286</v>
      </c>
      <c r="H87" s="39">
        <f t="shared" si="36"/>
        <v>100</v>
      </c>
      <c r="I87">
        <v>100</v>
      </c>
      <c r="J87" s="71">
        <f t="shared" si="37"/>
        <v>7.1428571428571438E-2</v>
      </c>
      <c r="K87" s="71">
        <f t="shared" si="38"/>
        <v>40.142857142857146</v>
      </c>
      <c r="L87" s="72">
        <f t="shared" si="39"/>
        <v>38.462092275382609</v>
      </c>
      <c r="M87" s="73">
        <f t="shared" si="40"/>
        <v>0.79435623575579484</v>
      </c>
      <c r="N87" s="73">
        <f t="shared" si="41"/>
        <v>0.78301985743415337</v>
      </c>
      <c r="O87" s="74">
        <f t="shared" si="42"/>
        <v>21.698014256584656</v>
      </c>
      <c r="P87" s="75">
        <f t="shared" si="43"/>
        <v>1.2771068198408915</v>
      </c>
      <c r="Q87" s="37">
        <f t="shared" si="44"/>
        <v>6.3855340992044582E-2</v>
      </c>
      <c r="R87" s="43">
        <f t="shared" si="45"/>
        <v>40.127710681984091</v>
      </c>
      <c r="S87" s="76">
        <f t="shared" si="46"/>
        <v>0.62199670647343319</v>
      </c>
      <c r="T87">
        <v>228</v>
      </c>
      <c r="U87" s="44">
        <f t="shared" si="47"/>
        <v>366.56142649484974</v>
      </c>
      <c r="V87">
        <v>41.5</v>
      </c>
      <c r="W87" s="77">
        <f t="shared" si="48"/>
        <v>173.85346009630751</v>
      </c>
      <c r="X87">
        <f t="shared" si="49"/>
        <v>1.44</v>
      </c>
      <c r="Y87" s="47">
        <f t="shared" si="50"/>
        <v>14.773021562657023</v>
      </c>
      <c r="Z87">
        <v>40</v>
      </c>
    </row>
    <row r="88" spans="1:26" ht="15" customHeight="1" thickBot="1">
      <c r="A88">
        <v>40.5</v>
      </c>
      <c r="B88" t="s">
        <v>167</v>
      </c>
      <c r="C88">
        <v>0.05</v>
      </c>
      <c r="D88">
        <v>100</v>
      </c>
      <c r="E88" s="37">
        <f t="shared" si="34"/>
        <v>40.571428571428569</v>
      </c>
      <c r="F88">
        <v>30</v>
      </c>
      <c r="G88" s="71">
        <f t="shared" si="35"/>
        <v>1.4285714285714286</v>
      </c>
      <c r="H88" s="39">
        <f t="shared" si="36"/>
        <v>100</v>
      </c>
      <c r="I88">
        <v>100</v>
      </c>
      <c r="J88" s="71">
        <f t="shared" si="37"/>
        <v>7.1428571428571438E-2</v>
      </c>
      <c r="K88" s="71">
        <f t="shared" si="38"/>
        <v>40.642857142857146</v>
      </c>
      <c r="L88" s="72">
        <f t="shared" si="39"/>
        <v>38.116548114520839</v>
      </c>
      <c r="M88" s="73">
        <f t="shared" si="40"/>
        <v>0.78456663425880435</v>
      </c>
      <c r="N88" s="73">
        <f t="shared" si="41"/>
        <v>0.78675678441103636</v>
      </c>
      <c r="O88" s="74">
        <f t="shared" si="42"/>
        <v>21.324321558896358</v>
      </c>
      <c r="P88" s="75">
        <f t="shared" si="43"/>
        <v>1.2710408347461493</v>
      </c>
      <c r="Q88" s="37">
        <f t="shared" si="44"/>
        <v>6.3552041737307469E-2</v>
      </c>
      <c r="R88" s="43">
        <f t="shared" si="45"/>
        <v>40.627104083474613</v>
      </c>
      <c r="S88" s="76">
        <f t="shared" si="46"/>
        <v>0.61726312232564651</v>
      </c>
      <c r="T88">
        <v>229</v>
      </c>
      <c r="U88" s="44">
        <f t="shared" si="47"/>
        <v>370.99251796738247</v>
      </c>
      <c r="V88">
        <v>41.5</v>
      </c>
      <c r="W88" s="77">
        <f t="shared" si="48"/>
        <v>174.66286851168093</v>
      </c>
      <c r="X88">
        <f t="shared" si="49"/>
        <v>1.44</v>
      </c>
      <c r="Y88" s="47">
        <f t="shared" si="50"/>
        <v>14.815527850734323</v>
      </c>
      <c r="Z88">
        <v>40.5</v>
      </c>
    </row>
    <row r="89" spans="1:26" ht="15" customHeight="1" thickBot="1">
      <c r="A89">
        <v>41</v>
      </c>
      <c r="B89" t="s">
        <v>167</v>
      </c>
      <c r="C89">
        <v>0.05</v>
      </c>
      <c r="D89">
        <v>100</v>
      </c>
      <c r="E89" s="37">
        <f t="shared" si="34"/>
        <v>41.071428571428569</v>
      </c>
      <c r="F89">
        <v>30</v>
      </c>
      <c r="G89" s="71">
        <f t="shared" si="35"/>
        <v>1.4285714285714286</v>
      </c>
      <c r="H89" s="39">
        <f t="shared" si="36"/>
        <v>100</v>
      </c>
      <c r="I89">
        <v>100</v>
      </c>
      <c r="J89" s="71">
        <f t="shared" si="37"/>
        <v>7.1428571428571438E-2</v>
      </c>
      <c r="K89" s="71">
        <f t="shared" si="38"/>
        <v>41.142857142857146</v>
      </c>
      <c r="L89" s="72">
        <f t="shared" si="39"/>
        <v>37.776235783134688</v>
      </c>
      <c r="M89" s="73">
        <f t="shared" si="40"/>
        <v>0.77501538827652328</v>
      </c>
      <c r="N89" s="73">
        <f t="shared" si="41"/>
        <v>0.79040916296920816</v>
      </c>
      <c r="O89" s="74">
        <f t="shared" si="42"/>
        <v>20.959083703079187</v>
      </c>
      <c r="P89" s="75">
        <f t="shared" si="43"/>
        <v>1.2651675193686449</v>
      </c>
      <c r="Q89" s="37">
        <f t="shared" si="44"/>
        <v>6.3258375968432243E-2</v>
      </c>
      <c r="R89" s="43">
        <f t="shared" si="45"/>
        <v>41.126516751936862</v>
      </c>
      <c r="S89" s="76">
        <f t="shared" si="46"/>
        <v>0.61257926433590271</v>
      </c>
      <c r="T89">
        <v>230</v>
      </c>
      <c r="U89" s="44">
        <f t="shared" si="47"/>
        <v>375.46161515823269</v>
      </c>
      <c r="V89">
        <v>41.5</v>
      </c>
      <c r="W89" s="77">
        <f t="shared" si="48"/>
        <v>175.47543761226169</v>
      </c>
      <c r="X89">
        <f t="shared" si="49"/>
        <v>1.44</v>
      </c>
      <c r="Y89" s="47">
        <f t="shared" si="50"/>
        <v>14.859753996822908</v>
      </c>
      <c r="Z89">
        <v>41</v>
      </c>
    </row>
    <row r="90" spans="1:26" ht="15" customHeight="1" thickBot="1">
      <c r="A90">
        <v>41.5</v>
      </c>
      <c r="B90" t="s">
        <v>167</v>
      </c>
      <c r="C90">
        <v>0.05</v>
      </c>
      <c r="D90">
        <v>100</v>
      </c>
      <c r="E90" s="37">
        <f t="shared" si="34"/>
        <v>41.571428571428569</v>
      </c>
      <c r="F90">
        <v>30</v>
      </c>
      <c r="G90" s="71">
        <f t="shared" si="35"/>
        <v>1.4285714285714286</v>
      </c>
      <c r="H90" s="39">
        <f t="shared" si="36"/>
        <v>100</v>
      </c>
      <c r="I90">
        <v>100</v>
      </c>
      <c r="J90" s="71">
        <f t="shared" si="37"/>
        <v>7.1428571428571438E-2</v>
      </c>
      <c r="K90" s="71">
        <f t="shared" si="38"/>
        <v>41.642857142857146</v>
      </c>
      <c r="L90" s="72">
        <f t="shared" si="39"/>
        <v>37.441060826515134</v>
      </c>
      <c r="M90" s="73">
        <f t="shared" si="40"/>
        <v>0.76569389735223514</v>
      </c>
      <c r="N90" s="73">
        <f t="shared" si="41"/>
        <v>0.79397914951042314</v>
      </c>
      <c r="O90" s="74">
        <f t="shared" si="42"/>
        <v>20.60208504895769</v>
      </c>
      <c r="P90" s="75">
        <f t="shared" si="43"/>
        <v>1.2594789178237384</v>
      </c>
      <c r="Q90" s="37">
        <f t="shared" si="44"/>
        <v>6.2973945891186919E-2</v>
      </c>
      <c r="R90" s="43">
        <f t="shared" si="45"/>
        <v>41.625947891782374</v>
      </c>
      <c r="S90" s="76">
        <f t="shared" si="46"/>
        <v>0.60794498940504893</v>
      </c>
      <c r="T90">
        <v>231</v>
      </c>
      <c r="U90" s="44">
        <f t="shared" si="47"/>
        <v>379.96858930618498</v>
      </c>
      <c r="V90">
        <v>41.5</v>
      </c>
      <c r="W90" s="77">
        <f t="shared" si="48"/>
        <v>176.29110044390421</v>
      </c>
      <c r="X90">
        <f t="shared" si="49"/>
        <v>1.44</v>
      </c>
      <c r="Y90" s="47">
        <f t="shared" si="50"/>
        <v>14.905637808567453</v>
      </c>
      <c r="Z90">
        <v>41.5</v>
      </c>
    </row>
    <row r="91" spans="1:26" ht="15" customHeight="1" thickBot="1">
      <c r="A91">
        <v>42</v>
      </c>
      <c r="B91" t="s">
        <v>167</v>
      </c>
      <c r="C91">
        <v>0.05</v>
      </c>
      <c r="D91">
        <v>100</v>
      </c>
      <c r="E91" s="37">
        <f t="shared" si="34"/>
        <v>42.071428571428569</v>
      </c>
      <c r="F91">
        <v>30</v>
      </c>
      <c r="G91" s="71">
        <f t="shared" si="35"/>
        <v>1.4285714285714286</v>
      </c>
      <c r="H91" s="39">
        <f t="shared" si="36"/>
        <v>100</v>
      </c>
      <c r="I91">
        <v>100</v>
      </c>
      <c r="J91" s="71">
        <f t="shared" si="37"/>
        <v>7.1428571428571438E-2</v>
      </c>
      <c r="K91" s="71">
        <f t="shared" si="38"/>
        <v>42.142857142857146</v>
      </c>
      <c r="L91" s="72">
        <f t="shared" si="39"/>
        <v>37.110930213375589</v>
      </c>
      <c r="M91" s="73">
        <f t="shared" si="40"/>
        <v>0.75659396987945826</v>
      </c>
      <c r="N91" s="73">
        <f t="shared" si="41"/>
        <v>0.79746884807034046</v>
      </c>
      <c r="O91" s="74">
        <f t="shared" si="42"/>
        <v>20.25311519296595</v>
      </c>
      <c r="P91" s="75">
        <f t="shared" si="43"/>
        <v>1.2539674777513006</v>
      </c>
      <c r="Q91" s="37">
        <f t="shared" si="44"/>
        <v>6.2698373887565037E-2</v>
      </c>
      <c r="R91" s="43">
        <f t="shared" si="45"/>
        <v>42.125396747775127</v>
      </c>
      <c r="S91" s="76">
        <f t="shared" si="46"/>
        <v>0.60336012161673747</v>
      </c>
      <c r="T91">
        <v>232</v>
      </c>
      <c r="U91" s="44">
        <f t="shared" si="47"/>
        <v>384.51331416856476</v>
      </c>
      <c r="V91">
        <v>41.5</v>
      </c>
      <c r="W91" s="77">
        <f t="shared" si="48"/>
        <v>177.10979157402406</v>
      </c>
      <c r="X91">
        <f t="shared" si="49"/>
        <v>1.44</v>
      </c>
      <c r="Y91" s="47">
        <f t="shared" si="50"/>
        <v>14.953120058860202</v>
      </c>
      <c r="Z91">
        <v>42</v>
      </c>
    </row>
    <row r="92" spans="1:26" ht="15" customHeight="1" thickBot="1">
      <c r="A92">
        <v>42.5</v>
      </c>
      <c r="B92" t="s">
        <v>167</v>
      </c>
      <c r="C92">
        <v>0.05</v>
      </c>
      <c r="D92">
        <v>100</v>
      </c>
      <c r="E92" s="37">
        <f t="shared" si="34"/>
        <v>42.571428571428569</v>
      </c>
      <c r="F92">
        <v>30</v>
      </c>
      <c r="G92" s="71">
        <f t="shared" si="35"/>
        <v>1.4285714285714286</v>
      </c>
      <c r="H92" s="39">
        <f t="shared" si="36"/>
        <v>100</v>
      </c>
      <c r="I92">
        <v>100</v>
      </c>
      <c r="J92" s="71">
        <f t="shared" si="37"/>
        <v>7.1428571428571438E-2</v>
      </c>
      <c r="K92" s="71">
        <f t="shared" si="38"/>
        <v>42.642857142857146</v>
      </c>
      <c r="L92" s="72">
        <f t="shared" si="39"/>
        <v>36.785752351482316</v>
      </c>
      <c r="M92" s="73">
        <f t="shared" si="40"/>
        <v>0.74770779909228335</v>
      </c>
      <c r="N92" s="73">
        <f t="shared" si="41"/>
        <v>0.80088031097467061</v>
      </c>
      <c r="O92" s="74">
        <f t="shared" si="42"/>
        <v>19.911968902532934</v>
      </c>
      <c r="P92" s="75">
        <f t="shared" si="43"/>
        <v>1.2486260260075577</v>
      </c>
      <c r="Q92" s="37">
        <f t="shared" si="44"/>
        <v>6.2431301300377884E-2</v>
      </c>
      <c r="R92" s="43">
        <f t="shared" si="45"/>
        <v>42.624862602600757</v>
      </c>
      <c r="S92" s="76">
        <f t="shared" si="46"/>
        <v>0.5988244546552145</v>
      </c>
      <c r="T92">
        <v>233</v>
      </c>
      <c r="U92" s="44">
        <f t="shared" si="47"/>
        <v>389.09566599806709</v>
      </c>
      <c r="V92">
        <v>41.5</v>
      </c>
      <c r="W92" s="77">
        <f t="shared" si="48"/>
        <v>177.93144706383711</v>
      </c>
      <c r="X92">
        <f t="shared" si="49"/>
        <v>1.44</v>
      </c>
      <c r="Y92" s="47">
        <f t="shared" si="50"/>
        <v>15.002144311056398</v>
      </c>
      <c r="Z92">
        <v>42.5</v>
      </c>
    </row>
    <row r="93" spans="1:26" ht="15" customHeight="1" thickBot="1">
      <c r="A93">
        <v>43</v>
      </c>
      <c r="B93" t="s">
        <v>167</v>
      </c>
      <c r="C93">
        <v>0.05</v>
      </c>
      <c r="D93">
        <v>100</v>
      </c>
      <c r="E93" s="37">
        <f t="shared" si="34"/>
        <v>43.071428571428569</v>
      </c>
      <c r="F93">
        <v>30</v>
      </c>
      <c r="G93" s="71">
        <f t="shared" si="35"/>
        <v>1.4285714285714286</v>
      </c>
      <c r="H93" s="39">
        <f t="shared" si="36"/>
        <v>100</v>
      </c>
      <c r="I93">
        <v>100</v>
      </c>
      <c r="J93" s="71">
        <f t="shared" si="37"/>
        <v>7.1428571428571438E-2</v>
      </c>
      <c r="K93" s="71">
        <f t="shared" si="38"/>
        <v>43.142857142857146</v>
      </c>
      <c r="L93" s="72">
        <f t="shared" si="39"/>
        <v>36.465437099616196</v>
      </c>
      <c r="M93" s="73">
        <f t="shared" si="40"/>
        <v>0.73902794072802791</v>
      </c>
      <c r="N93" s="73">
        <f t="shared" si="41"/>
        <v>0.80421553955139746</v>
      </c>
      <c r="O93" s="74">
        <f t="shared" si="42"/>
        <v>19.578446044860257</v>
      </c>
      <c r="P93" s="75">
        <f t="shared" si="43"/>
        <v>1.2434477460579956</v>
      </c>
      <c r="Q93" s="37">
        <f t="shared" si="44"/>
        <v>6.2172387302899784E-2</v>
      </c>
      <c r="R93" s="43">
        <f t="shared" si="45"/>
        <v>43.124344774605802</v>
      </c>
      <c r="S93" s="76">
        <f t="shared" si="46"/>
        <v>0.5943377540961492</v>
      </c>
      <c r="T93">
        <v>234</v>
      </c>
      <c r="U93" s="44">
        <f t="shared" si="47"/>
        <v>393.71552351719617</v>
      </c>
      <c r="V93">
        <v>41.5</v>
      </c>
      <c r="W93" s="77">
        <f t="shared" si="48"/>
        <v>178.75600444032054</v>
      </c>
      <c r="X93">
        <f t="shared" si="49"/>
        <v>1.44</v>
      </c>
      <c r="Y93" s="47">
        <f t="shared" si="50"/>
        <v>15.052656756418793</v>
      </c>
      <c r="Z93">
        <v>43</v>
      </c>
    </row>
    <row r="94" spans="1:26" ht="15" customHeight="1" thickBot="1">
      <c r="A94">
        <v>43.5</v>
      </c>
      <c r="B94" t="s">
        <v>167</v>
      </c>
      <c r="C94">
        <v>0.05</v>
      </c>
      <c r="D94">
        <v>100</v>
      </c>
      <c r="E94" s="37">
        <f t="shared" si="34"/>
        <v>43.571428571428569</v>
      </c>
      <c r="F94">
        <v>30</v>
      </c>
      <c r="G94" s="71">
        <f t="shared" si="35"/>
        <v>1.4285714285714286</v>
      </c>
      <c r="H94" s="39">
        <f t="shared" si="36"/>
        <v>100</v>
      </c>
      <c r="I94">
        <v>100</v>
      </c>
      <c r="J94" s="71">
        <f t="shared" si="37"/>
        <v>7.1428571428571438E-2</v>
      </c>
      <c r="K94" s="71">
        <f t="shared" si="38"/>
        <v>43.642857142857146</v>
      </c>
      <c r="L94" s="72">
        <f t="shared" si="39"/>
        <v>36.149895776153286</v>
      </c>
      <c r="M94" s="73">
        <f t="shared" si="40"/>
        <v>0.73054729222787029</v>
      </c>
      <c r="N94" s="73">
        <f t="shared" si="41"/>
        <v>0.8074764848916739</v>
      </c>
      <c r="O94" s="74">
        <f t="shared" si="42"/>
        <v>19.252351510832611</v>
      </c>
      <c r="P94" s="75">
        <f t="shared" si="43"/>
        <v>1.2384261569352746</v>
      </c>
      <c r="Q94" s="37">
        <f t="shared" si="44"/>
        <v>6.192130784676373E-2</v>
      </c>
      <c r="R94" s="43">
        <f t="shared" si="45"/>
        <v>43.623842615693526</v>
      </c>
      <c r="S94" s="76">
        <f t="shared" si="46"/>
        <v>0.58989975957529117</v>
      </c>
      <c r="T94">
        <v>235</v>
      </c>
      <c r="U94" s="44">
        <f t="shared" si="47"/>
        <v>398.37276789058609</v>
      </c>
      <c r="V94">
        <v>41.5</v>
      </c>
      <c r="W94" s="77">
        <f t="shared" si="48"/>
        <v>179.58340266798106</v>
      </c>
      <c r="X94">
        <f t="shared" si="49"/>
        <v>1.44</v>
      </c>
      <c r="Y94" s="47">
        <f t="shared" si="50"/>
        <v>15.104606062803525</v>
      </c>
      <c r="Z94">
        <v>43.5</v>
      </c>
    </row>
    <row r="95" spans="1:26" ht="15" customHeight="1" thickBot="1">
      <c r="A95">
        <v>44</v>
      </c>
      <c r="B95" t="s">
        <v>167</v>
      </c>
      <c r="C95">
        <v>0.05</v>
      </c>
      <c r="D95">
        <v>100</v>
      </c>
      <c r="E95" s="37">
        <f t="shared" si="34"/>
        <v>44.071428571428569</v>
      </c>
      <c r="F95">
        <v>30</v>
      </c>
      <c r="G95" s="71">
        <f t="shared" si="35"/>
        <v>1.4285714285714286</v>
      </c>
      <c r="H95" s="39">
        <f t="shared" si="36"/>
        <v>100</v>
      </c>
      <c r="I95">
        <v>100</v>
      </c>
      <c r="J95" s="71">
        <f t="shared" si="37"/>
        <v>7.1428571428571438E-2</v>
      </c>
      <c r="K95" s="71">
        <f t="shared" si="38"/>
        <v>44.142857142857146</v>
      </c>
      <c r="L95" s="72">
        <f t="shared" si="39"/>
        <v>35.839041164534883</v>
      </c>
      <c r="M95" s="73">
        <f t="shared" si="40"/>
        <v>0.72225907335332395</v>
      </c>
      <c r="N95" s="73">
        <f t="shared" si="41"/>
        <v>0.81066504865258138</v>
      </c>
      <c r="O95" s="74">
        <f t="shared" si="42"/>
        <v>18.933495134741861</v>
      </c>
      <c r="P95" s="75">
        <f t="shared" si="43"/>
        <v>1.2335550936383839</v>
      </c>
      <c r="Q95" s="37">
        <f t="shared" si="44"/>
        <v>6.1677754681919196E-2</v>
      </c>
      <c r="R95" s="43">
        <f t="shared" si="45"/>
        <v>44.12335550936384</v>
      </c>
      <c r="S95" s="76">
        <f t="shared" si="46"/>
        <v>0.58551018683974054</v>
      </c>
      <c r="T95">
        <v>236</v>
      </c>
      <c r="U95" s="44">
        <f t="shared" si="47"/>
        <v>403.06728269545096</v>
      </c>
      <c r="V95">
        <v>41.5</v>
      </c>
      <c r="W95" s="77">
        <f t="shared" si="48"/>
        <v>180.41358212050775</v>
      </c>
      <c r="X95">
        <f t="shared" si="49"/>
        <v>1.44</v>
      </c>
      <c r="Y95" s="47">
        <f t="shared" si="50"/>
        <v>15.157943233690206</v>
      </c>
      <c r="Z95">
        <v>44</v>
      </c>
    </row>
    <row r="96" spans="1:26" ht="15" customHeight="1" thickBot="1">
      <c r="A96">
        <v>44.5</v>
      </c>
      <c r="B96" t="s">
        <v>167</v>
      </c>
      <c r="C96">
        <v>0.05</v>
      </c>
      <c r="D96">
        <v>100</v>
      </c>
      <c r="E96" s="37">
        <f t="shared" si="34"/>
        <v>44.571428571428569</v>
      </c>
      <c r="F96">
        <v>30</v>
      </c>
      <c r="G96" s="71">
        <f t="shared" si="35"/>
        <v>1.4285714285714286</v>
      </c>
      <c r="H96" s="39">
        <f t="shared" si="36"/>
        <v>100</v>
      </c>
      <c r="I96">
        <v>100</v>
      </c>
      <c r="J96" s="71">
        <f t="shared" si="37"/>
        <v>7.1428571428571438E-2</v>
      </c>
      <c r="K96" s="71">
        <f t="shared" si="38"/>
        <v>44.642857142857146</v>
      </c>
      <c r="L96" s="72">
        <f t="shared" si="39"/>
        <v>35.532787515881814</v>
      </c>
      <c r="M96" s="73">
        <f t="shared" si="40"/>
        <v>0.71415680810737325</v>
      </c>
      <c r="N96" s="73">
        <f t="shared" si="41"/>
        <v>0.81378308389550436</v>
      </c>
      <c r="O96" s="74">
        <f t="shared" si="42"/>
        <v>18.62169161044956</v>
      </c>
      <c r="P96" s="75">
        <f t="shared" si="43"/>
        <v>1.2288286888602948</v>
      </c>
      <c r="Q96" s="37">
        <f t="shared" si="44"/>
        <v>6.1441434443014746E-2</v>
      </c>
      <c r="R96" s="43">
        <f t="shared" si="45"/>
        <v>44.62288286888603</v>
      </c>
      <c r="S96" s="76">
        <f t="shared" si="46"/>
        <v>0.58116872968658817</v>
      </c>
      <c r="T96">
        <v>237</v>
      </c>
      <c r="U96" s="44">
        <f t="shared" si="47"/>
        <v>407.79895389039433</v>
      </c>
      <c r="V96">
        <v>41.5</v>
      </c>
      <c r="W96" s="77">
        <f t="shared" si="48"/>
        <v>181.24648455237937</v>
      </c>
      <c r="X96">
        <f t="shared" si="49"/>
        <v>1.44</v>
      </c>
      <c r="Y96" s="47">
        <f t="shared" si="50"/>
        <v>15.212621476739818</v>
      </c>
      <c r="Z96">
        <v>44.5</v>
      </c>
    </row>
    <row r="97" spans="1:26" ht="15" customHeight="1" thickBot="1">
      <c r="A97">
        <v>45</v>
      </c>
      <c r="B97" t="s">
        <v>167</v>
      </c>
      <c r="C97">
        <v>0.05</v>
      </c>
      <c r="D97">
        <v>100</v>
      </c>
      <c r="E97" s="37">
        <f t="shared" si="34"/>
        <v>45.071428571428569</v>
      </c>
      <c r="F97">
        <v>30</v>
      </c>
      <c r="G97" s="71">
        <f t="shared" si="35"/>
        <v>1.4285714285714286</v>
      </c>
      <c r="H97" s="39">
        <f t="shared" si="36"/>
        <v>99.999999999999986</v>
      </c>
      <c r="I97">
        <v>100</v>
      </c>
      <c r="J97" s="71">
        <f t="shared" si="37"/>
        <v>7.1428571428571438E-2</v>
      </c>
      <c r="K97" s="71">
        <f t="shared" si="38"/>
        <v>45.142857142857146</v>
      </c>
      <c r="L97" s="72">
        <f t="shared" si="39"/>
        <v>35.231050548991888</v>
      </c>
      <c r="M97" s="73">
        <f t="shared" si="40"/>
        <v>0.70623430785895536</v>
      </c>
      <c r="N97" s="73">
        <f t="shared" si="41"/>
        <v>0.81683239595439683</v>
      </c>
      <c r="O97" s="74">
        <f t="shared" si="42"/>
        <v>18.316760404560313</v>
      </c>
      <c r="P97" s="75">
        <f t="shared" si="43"/>
        <v>1.2242413559413101</v>
      </c>
      <c r="Q97" s="37">
        <f t="shared" si="44"/>
        <v>6.1212067797065506E-2</v>
      </c>
      <c r="R97" s="43">
        <f t="shared" si="45"/>
        <v>45.12242413559413</v>
      </c>
      <c r="S97" s="76">
        <f t="shared" si="46"/>
        <v>0.57687506179362569</v>
      </c>
      <c r="T97">
        <v>238</v>
      </c>
      <c r="U97" s="44">
        <f t="shared" si="47"/>
        <v>412.56766978279148</v>
      </c>
      <c r="V97">
        <v>41.5</v>
      </c>
      <c r="W97" s="77">
        <f t="shared" si="48"/>
        <v>182.08205307049039</v>
      </c>
      <c r="X97">
        <f t="shared" si="49"/>
        <v>1.44</v>
      </c>
      <c r="Y97" s="47">
        <f t="shared" si="50"/>
        <v>15.268596081136877</v>
      </c>
      <c r="Z97">
        <v>45</v>
      </c>
    </row>
    <row r="98" spans="1:26" ht="15" customHeight="1" thickBot="1">
      <c r="A98">
        <v>45.5</v>
      </c>
      <c r="B98" t="s">
        <v>167</v>
      </c>
      <c r="C98">
        <v>0.05</v>
      </c>
      <c r="D98">
        <v>100</v>
      </c>
      <c r="E98" s="37">
        <f t="shared" si="34"/>
        <v>45.571428571428569</v>
      </c>
      <c r="F98">
        <v>30</v>
      </c>
      <c r="G98" s="71">
        <f t="shared" si="35"/>
        <v>1.4285714285714286</v>
      </c>
      <c r="H98" s="39">
        <f t="shared" si="36"/>
        <v>100</v>
      </c>
      <c r="I98">
        <v>100</v>
      </c>
      <c r="J98" s="71">
        <f t="shared" si="37"/>
        <v>7.1428571428571438E-2</v>
      </c>
      <c r="K98" s="71">
        <f t="shared" si="38"/>
        <v>45.642857142857146</v>
      </c>
      <c r="L98" s="72">
        <f t="shared" si="39"/>
        <v>34.933747447945109</v>
      </c>
      <c r="M98" s="73">
        <f t="shared" si="40"/>
        <v>0.69848565557837139</v>
      </c>
      <c r="N98" s="73">
        <f t="shared" si="41"/>
        <v>0.8198147433287043</v>
      </c>
      <c r="O98" s="74">
        <f t="shared" si="42"/>
        <v>18.018525667129566</v>
      </c>
      <c r="P98" s="75">
        <f t="shared" si="43"/>
        <v>1.2197877729542739</v>
      </c>
      <c r="Q98" s="37">
        <f t="shared" si="44"/>
        <v>6.0989388647713694E-2</v>
      </c>
      <c r="R98" s="43">
        <f t="shared" si="45"/>
        <v>45.621978777295425</v>
      </c>
      <c r="S98" s="76">
        <f t="shared" si="46"/>
        <v>0.57262883844676449</v>
      </c>
      <c r="T98">
        <v>239</v>
      </c>
      <c r="U98" s="44">
        <f t="shared" si="47"/>
        <v>417.37332099493813</v>
      </c>
      <c r="V98">
        <v>41.5</v>
      </c>
      <c r="W98" s="77">
        <f t="shared" si="48"/>
        <v>182.92023210585285</v>
      </c>
      <c r="X98">
        <f t="shared" si="49"/>
        <v>1.44</v>
      </c>
      <c r="Y98" s="47">
        <f t="shared" si="50"/>
        <v>15.325824303038155</v>
      </c>
      <c r="Z98">
        <v>45.5</v>
      </c>
    </row>
    <row r="99" spans="1:26" ht="15" customHeight="1" thickBot="1">
      <c r="A99">
        <v>46</v>
      </c>
      <c r="B99" t="s">
        <v>167</v>
      </c>
      <c r="C99">
        <v>0.05</v>
      </c>
      <c r="D99">
        <v>100</v>
      </c>
      <c r="E99" s="37">
        <f t="shared" si="34"/>
        <v>46.071428571428569</v>
      </c>
      <c r="F99">
        <v>30</v>
      </c>
      <c r="G99" s="71">
        <f t="shared" si="35"/>
        <v>1.4285714285714286</v>
      </c>
      <c r="H99" s="39">
        <f t="shared" si="36"/>
        <v>100</v>
      </c>
      <c r="I99">
        <v>100</v>
      </c>
      <c r="J99" s="71">
        <f t="shared" si="37"/>
        <v>7.1428571428571438E-2</v>
      </c>
      <c r="K99" s="71">
        <f t="shared" si="38"/>
        <v>46.142857142857146</v>
      </c>
      <c r="L99" s="72">
        <f t="shared" si="39"/>
        <v>34.640796857526446</v>
      </c>
      <c r="M99" s="73">
        <f t="shared" si="40"/>
        <v>0.69090519109922621</v>
      </c>
      <c r="N99" s="73">
        <f t="shared" si="41"/>
        <v>0.82273183859617049</v>
      </c>
      <c r="O99" s="74">
        <f t="shared" si="42"/>
        <v>17.726816140382951</v>
      </c>
      <c r="P99" s="75">
        <f t="shared" si="43"/>
        <v>1.215462867835895</v>
      </c>
      <c r="Q99" s="37">
        <f t="shared" si="44"/>
        <v>6.0773143391794751E-2</v>
      </c>
      <c r="R99" s="43">
        <f t="shared" si="45"/>
        <v>46.121546286783591</v>
      </c>
      <c r="S99" s="76">
        <f t="shared" si="46"/>
        <v>0.56842969816870492</v>
      </c>
      <c r="T99">
        <v>240</v>
      </c>
      <c r="U99" s="44">
        <f t="shared" si="47"/>
        <v>422.21580042915019</v>
      </c>
      <c r="V99">
        <v>41.5</v>
      </c>
      <c r="W99" s="77">
        <f t="shared" si="48"/>
        <v>183.76096738542728</v>
      </c>
      <c r="X99">
        <f t="shared" si="49"/>
        <v>1.44</v>
      </c>
      <c r="Y99" s="47">
        <f t="shared" si="50"/>
        <v>15.384265258509151</v>
      </c>
      <c r="Z99">
        <v>46</v>
      </c>
    </row>
    <row r="100" spans="1:26" ht="15" customHeight="1" thickBot="1">
      <c r="A100">
        <v>46.5</v>
      </c>
      <c r="B100" t="s">
        <v>167</v>
      </c>
      <c r="C100">
        <v>0.05</v>
      </c>
      <c r="D100">
        <v>100</v>
      </c>
      <c r="E100" s="37">
        <f t="shared" si="34"/>
        <v>46.571428571428569</v>
      </c>
      <c r="F100">
        <v>30</v>
      </c>
      <c r="G100" s="71">
        <f t="shared" si="35"/>
        <v>1.4285714285714286</v>
      </c>
      <c r="H100" s="39">
        <f t="shared" si="36"/>
        <v>100</v>
      </c>
      <c r="I100">
        <v>100</v>
      </c>
      <c r="J100" s="71">
        <f t="shared" si="37"/>
        <v>7.1428571428571438E-2</v>
      </c>
      <c r="K100" s="71">
        <f t="shared" si="38"/>
        <v>46.642857142857146</v>
      </c>
      <c r="L100" s="72">
        <f t="shared" si="39"/>
        <v>34.352118876663191</v>
      </c>
      <c r="M100" s="73">
        <f t="shared" si="40"/>
        <v>0.68348749732975589</v>
      </c>
      <c r="N100" s="73">
        <f t="shared" si="41"/>
        <v>0.82558534934117833</v>
      </c>
      <c r="O100" s="74">
        <f t="shared" si="42"/>
        <v>17.44146506588217</v>
      </c>
      <c r="P100" s="75">
        <f t="shared" si="43"/>
        <v>1.2112618044857573</v>
      </c>
      <c r="Q100" s="37">
        <f t="shared" si="44"/>
        <v>6.0563090224287866E-2</v>
      </c>
      <c r="R100" s="43">
        <f t="shared" si="45"/>
        <v>46.621126180448577</v>
      </c>
      <c r="S100" s="76">
        <f t="shared" si="46"/>
        <v>0.56427726425331415</v>
      </c>
      <c r="T100">
        <v>241</v>
      </c>
      <c r="U100" s="44">
        <f t="shared" si="47"/>
        <v>427.09500323197636</v>
      </c>
      <c r="V100">
        <v>41.5</v>
      </c>
      <c r="W100" s="77">
        <f t="shared" si="48"/>
        <v>184.60420590412809</v>
      </c>
      <c r="X100">
        <f t="shared" si="49"/>
        <v>1.44</v>
      </c>
      <c r="Y100" s="47">
        <f t="shared" si="50"/>
        <v>15.443879823383103</v>
      </c>
      <c r="Z100">
        <v>46.5</v>
      </c>
    </row>
    <row r="101" spans="1:26" ht="15" customHeight="1" thickBot="1">
      <c r="A101">
        <v>47</v>
      </c>
      <c r="B101" t="s">
        <v>167</v>
      </c>
      <c r="C101">
        <v>0.05</v>
      </c>
      <c r="D101">
        <v>100</v>
      </c>
      <c r="E101" s="37">
        <f t="shared" si="34"/>
        <v>47.071428571428569</v>
      </c>
      <c r="F101">
        <v>30</v>
      </c>
      <c r="G101" s="71">
        <f t="shared" si="35"/>
        <v>1.4285714285714286</v>
      </c>
      <c r="H101" s="39">
        <f t="shared" si="36"/>
        <v>100</v>
      </c>
      <c r="I101">
        <v>100</v>
      </c>
      <c r="J101" s="71">
        <f t="shared" si="37"/>
        <v>7.1428571428571438E-2</v>
      </c>
      <c r="K101" s="71">
        <f t="shared" si="38"/>
        <v>47.142857142857146</v>
      </c>
      <c r="L101" s="72">
        <f t="shared" si="39"/>
        <v>34.067635050060375</v>
      </c>
      <c r="M101" s="73">
        <f t="shared" si="40"/>
        <v>0.67622738734294519</v>
      </c>
      <c r="N101" s="73">
        <f t="shared" si="41"/>
        <v>0.82837689909468226</v>
      </c>
      <c r="O101" s="74">
        <f t="shared" si="42"/>
        <v>17.162310090531776</v>
      </c>
      <c r="P101" s="75">
        <f t="shared" si="43"/>
        <v>1.2071799697612058</v>
      </c>
      <c r="Q101" s="37">
        <f t="shared" si="44"/>
        <v>6.0358998488060291E-2</v>
      </c>
      <c r="R101" s="43">
        <f t="shared" si="45"/>
        <v>47.120717996976119</v>
      </c>
      <c r="S101" s="76">
        <f t="shared" si="46"/>
        <v>0.5601711462100476</v>
      </c>
      <c r="T101">
        <v>242</v>
      </c>
      <c r="U101" s="44">
        <f t="shared" si="47"/>
        <v>432.01082675768015</v>
      </c>
      <c r="V101">
        <v>41.5</v>
      </c>
      <c r="W101" s="77">
        <f t="shared" si="48"/>
        <v>185.44989589704645</v>
      </c>
      <c r="X101">
        <f t="shared" si="49"/>
        <v>1.44</v>
      </c>
      <c r="Y101" s="47">
        <f t="shared" si="50"/>
        <v>15.504630539525548</v>
      </c>
      <c r="Z101">
        <v>47</v>
      </c>
    </row>
    <row r="102" spans="1:26" ht="15" customHeight="1" thickBot="1">
      <c r="A102">
        <v>47.5</v>
      </c>
      <c r="B102" t="s">
        <v>167</v>
      </c>
      <c r="C102">
        <v>0.05</v>
      </c>
      <c r="D102">
        <v>100</v>
      </c>
      <c r="E102" s="37">
        <f t="shared" si="34"/>
        <v>47.571428571428569</v>
      </c>
      <c r="F102">
        <v>30</v>
      </c>
      <c r="G102" s="71">
        <f t="shared" si="35"/>
        <v>1.4285714285714286</v>
      </c>
      <c r="H102" s="39">
        <f t="shared" si="36"/>
        <v>100</v>
      </c>
      <c r="I102">
        <v>100</v>
      </c>
      <c r="J102" s="71">
        <f t="shared" si="37"/>
        <v>7.1428571428571438E-2</v>
      </c>
      <c r="K102" s="71">
        <f t="shared" si="38"/>
        <v>47.642857142857146</v>
      </c>
      <c r="L102" s="72">
        <f t="shared" si="39"/>
        <v>33.787268358205985</v>
      </c>
      <c r="M102" s="73">
        <f t="shared" si="40"/>
        <v>0.66911989228078206</v>
      </c>
      <c r="N102" s="73">
        <f t="shared" si="41"/>
        <v>0.83110806828215156</v>
      </c>
      <c r="O102" s="74">
        <f t="shared" si="42"/>
        <v>16.889193171784839</v>
      </c>
      <c r="P102" s="75">
        <f t="shared" si="43"/>
        <v>1.2032129613022979</v>
      </c>
      <c r="Q102" s="37">
        <f t="shared" si="44"/>
        <v>6.0160648065114897E-2</v>
      </c>
      <c r="R102" s="43">
        <f t="shared" si="45"/>
        <v>47.620321296130228</v>
      </c>
      <c r="S102" s="76">
        <f t="shared" si="46"/>
        <v>0.55611094112264192</v>
      </c>
      <c r="T102">
        <v>243</v>
      </c>
      <c r="U102" s="44">
        <f t="shared" si="47"/>
        <v>436.96317053112966</v>
      </c>
      <c r="V102">
        <v>41.5</v>
      </c>
      <c r="W102" s="77">
        <f t="shared" si="48"/>
        <v>186.2979868119281</v>
      </c>
      <c r="X102">
        <f t="shared" si="49"/>
        <v>1.44</v>
      </c>
      <c r="Y102" s="47">
        <f t="shared" si="50"/>
        <v>15.566481527031105</v>
      </c>
      <c r="Z102">
        <v>47.5</v>
      </c>
    </row>
    <row r="103" spans="1:26" ht="15" customHeight="1" thickBot="1">
      <c r="A103">
        <v>48</v>
      </c>
      <c r="B103" t="s">
        <v>167</v>
      </c>
      <c r="C103">
        <v>0.05</v>
      </c>
      <c r="D103">
        <v>100</v>
      </c>
      <c r="E103" s="37">
        <f t="shared" si="34"/>
        <v>48.071428571428569</v>
      </c>
      <c r="F103">
        <v>30</v>
      </c>
      <c r="G103" s="71">
        <f t="shared" si="35"/>
        <v>1.4285714285714286</v>
      </c>
      <c r="H103" s="39">
        <f t="shared" si="36"/>
        <v>100</v>
      </c>
      <c r="I103">
        <v>100</v>
      </c>
      <c r="J103" s="71">
        <f t="shared" si="37"/>
        <v>7.1428571428571438E-2</v>
      </c>
      <c r="K103" s="71">
        <f t="shared" si="38"/>
        <v>48.142857142857146</v>
      </c>
      <c r="L103" s="72">
        <f t="shared" si="39"/>
        <v>33.510943205906088</v>
      </c>
      <c r="M103" s="73">
        <f t="shared" si="40"/>
        <v>0.66216025001337431</v>
      </c>
      <c r="N103" s="73">
        <f t="shared" si="41"/>
        <v>0.83378039517629143</v>
      </c>
      <c r="O103" s="74">
        <f t="shared" si="42"/>
        <v>16.621960482370852</v>
      </c>
      <c r="P103" s="75">
        <f t="shared" si="43"/>
        <v>1.1993565761264555</v>
      </c>
      <c r="Q103" s="37">
        <f t="shared" si="44"/>
        <v>5.996782880632278E-2</v>
      </c>
      <c r="R103" s="43">
        <f t="shared" si="45"/>
        <v>48.119935657612643</v>
      </c>
      <c r="S103" s="76">
        <f t="shared" si="46"/>
        <v>0.5520962349261832</v>
      </c>
      <c r="T103">
        <v>244</v>
      </c>
      <c r="U103" s="44">
        <f t="shared" si="47"/>
        <v>441.9519362102215</v>
      </c>
      <c r="V103">
        <v>41.5</v>
      </c>
      <c r="W103" s="77">
        <f t="shared" si="48"/>
        <v>187.14842928193863</v>
      </c>
      <c r="X103">
        <f t="shared" si="49"/>
        <v>1.44</v>
      </c>
      <c r="Y103" s="47">
        <f t="shared" si="50"/>
        <v>15.62939840191884</v>
      </c>
      <c r="Z103">
        <v>48</v>
      </c>
    </row>
    <row r="104" spans="1:26" ht="15" customHeight="1" thickBot="1">
      <c r="A104">
        <v>48.5</v>
      </c>
      <c r="B104" t="s">
        <v>167</v>
      </c>
      <c r="C104">
        <v>0.05</v>
      </c>
      <c r="D104">
        <v>100</v>
      </c>
      <c r="E104" s="37">
        <f t="shared" si="34"/>
        <v>48.571428571428569</v>
      </c>
      <c r="F104">
        <v>30</v>
      </c>
      <c r="G104" s="71">
        <f t="shared" si="35"/>
        <v>1.4285714285714286</v>
      </c>
      <c r="H104" s="39">
        <f t="shared" si="36"/>
        <v>100</v>
      </c>
      <c r="I104">
        <v>100</v>
      </c>
      <c r="J104" s="71">
        <f t="shared" si="37"/>
        <v>7.1428571428571438E-2</v>
      </c>
      <c r="K104" s="71">
        <f t="shared" si="38"/>
        <v>48.642857142857146</v>
      </c>
      <c r="L104" s="72">
        <f t="shared" si="39"/>
        <v>33.23858540949859</v>
      </c>
      <c r="M104" s="73">
        <f t="shared" si="40"/>
        <v>0.6553438944985307</v>
      </c>
      <c r="N104" s="73">
        <f t="shared" si="41"/>
        <v>0.83639537685163334</v>
      </c>
      <c r="O104" s="74">
        <f t="shared" si="42"/>
        <v>16.360462314836667</v>
      </c>
      <c r="P104" s="75">
        <f t="shared" si="43"/>
        <v>1.1956067999373796</v>
      </c>
      <c r="Q104" s="37">
        <f t="shared" si="44"/>
        <v>5.9780339996868985E-2</v>
      </c>
      <c r="R104" s="43">
        <f t="shared" si="45"/>
        <v>48.619560679993739</v>
      </c>
      <c r="S104" s="76">
        <f t="shared" si="46"/>
        <v>0.54812660360651566</v>
      </c>
      <c r="T104">
        <v>245</v>
      </c>
      <c r="U104" s="44">
        <f t="shared" si="47"/>
        <v>446.97702754796126</v>
      </c>
      <c r="V104">
        <v>41.5</v>
      </c>
      <c r="W104" s="77">
        <f t="shared" si="48"/>
        <v>188.00117509874676</v>
      </c>
      <c r="X104">
        <f t="shared" si="49"/>
        <v>1.44</v>
      </c>
      <c r="Y104" s="47">
        <f t="shared" si="50"/>
        <v>15.693348198928248</v>
      </c>
      <c r="Z104">
        <v>48.5</v>
      </c>
    </row>
    <row r="105" spans="1:26" ht="15" customHeight="1" thickBot="1">
      <c r="A105">
        <v>49</v>
      </c>
      <c r="B105" t="s">
        <v>167</v>
      </c>
      <c r="C105">
        <v>0.05</v>
      </c>
      <c r="D105">
        <v>100</v>
      </c>
      <c r="E105" s="37">
        <f t="shared" ref="E105:E136" si="51">A105+J105</f>
        <v>49.071428571428569</v>
      </c>
      <c r="F105">
        <v>30</v>
      </c>
      <c r="G105" s="71">
        <f t="shared" ref="G105:G136" si="52">100/(100-F105)</f>
        <v>1.4285714285714286</v>
      </c>
      <c r="H105" s="39">
        <f t="shared" ref="H105:H136" si="53">3.1415926*E105*M105</f>
        <v>100</v>
      </c>
      <c r="I105">
        <v>100</v>
      </c>
      <c r="J105" s="71">
        <f t="shared" ref="J105:J136" si="54">G105*C105</f>
        <v>7.1428571428571438E-2</v>
      </c>
      <c r="K105" s="71">
        <f t="shared" ref="K105:K136" si="55">A105+2*J105</f>
        <v>49.142857142857146</v>
      </c>
      <c r="L105" s="72">
        <f t="shared" ref="L105:L136" si="56">ATAN(I105/(3.1415926*(A105+J105)))*180/3.1415926</f>
        <v>32.970122182884737</v>
      </c>
      <c r="M105" s="73">
        <f t="shared" ref="M105:M136" si="57">I105/(3.1415926*(A105+J105))</f>
        <v>0.64866644579184984</v>
      </c>
      <c r="N105" s="73">
        <f t="shared" ref="N105:N136" si="58">COS(L105*3.1415926/180)</f>
        <v>0.83895447013836799</v>
      </c>
      <c r="O105" s="74">
        <f t="shared" ref="O105:O136" si="59">(D105-I105*N105)/D105*100</f>
        <v>16.104552986163199</v>
      </c>
      <c r="P105" s="75">
        <f t="shared" ref="P105:P136" si="60">100/(100-O105)</f>
        <v>1.1919597970972977</v>
      </c>
      <c r="Q105" s="37">
        <f t="shared" ref="Q105:Q136" si="61">P105*C105</f>
        <v>5.9597989854864891E-2</v>
      </c>
      <c r="R105" s="43">
        <f t="shared" ref="R105:R136" si="62">A105+2*Q105</f>
        <v>49.11919597970973</v>
      </c>
      <c r="S105" s="76">
        <f t="shared" ref="S105:S136" si="63">SIN(L105*3.1415926/180)</f>
        <v>0.5442016143258398</v>
      </c>
      <c r="T105">
        <v>246</v>
      </c>
      <c r="U105" s="44">
        <f t="shared" ref="U105:U136" si="64">T105/S105</f>
        <v>452.03835035430069</v>
      </c>
      <c r="V105">
        <v>41.5</v>
      </c>
      <c r="W105" s="77">
        <f t="shared" ref="W105:W136" si="65">2*SQRT((1000*U105*C105/3.1415926)+(V105*V105))</f>
        <v>188.85617718595034</v>
      </c>
      <c r="X105">
        <f t="shared" ref="X105:X136" si="66">1.44</f>
        <v>1.44</v>
      </c>
      <c r="Y105" s="47">
        <f t="shared" ref="Y105:Y136" si="67">3.14*(A105+Q105)*Q105*X105*P105</f>
        <v>15.758299299050774</v>
      </c>
      <c r="Z105">
        <v>49</v>
      </c>
    </row>
    <row r="106" spans="1:26" ht="15" customHeight="1" thickBot="1">
      <c r="A106">
        <v>49.5</v>
      </c>
      <c r="B106" t="s">
        <v>167</v>
      </c>
      <c r="C106">
        <v>0.05</v>
      </c>
      <c r="D106">
        <v>100</v>
      </c>
      <c r="E106" s="37">
        <f t="shared" si="51"/>
        <v>49.571428571428569</v>
      </c>
      <c r="F106">
        <v>30</v>
      </c>
      <c r="G106" s="71">
        <f t="shared" si="52"/>
        <v>1.4285714285714286</v>
      </c>
      <c r="H106" s="39">
        <f t="shared" si="53"/>
        <v>100</v>
      </c>
      <c r="I106">
        <v>100</v>
      </c>
      <c r="J106" s="71">
        <f t="shared" si="54"/>
        <v>7.1428571428571438E-2</v>
      </c>
      <c r="K106" s="71">
        <f t="shared" si="55"/>
        <v>49.642857142857146</v>
      </c>
      <c r="L106" s="72">
        <f t="shared" si="56"/>
        <v>32.705482122506787</v>
      </c>
      <c r="M106" s="73">
        <f t="shared" si="57"/>
        <v>0.64212370066138458</v>
      </c>
      <c r="N106" s="73">
        <f t="shared" si="58"/>
        <v>0.84145909257308305</v>
      </c>
      <c r="O106" s="74">
        <f t="shared" si="59"/>
        <v>15.854090742691696</v>
      </c>
      <c r="P106" s="75">
        <f t="shared" si="60"/>
        <v>1.1884119012156817</v>
      </c>
      <c r="Q106" s="37">
        <f t="shared" si="61"/>
        <v>5.9420595060784093E-2</v>
      </c>
      <c r="R106" s="43">
        <f t="shared" si="62"/>
        <v>49.618841190121572</v>
      </c>
      <c r="S106" s="76">
        <f t="shared" si="63"/>
        <v>0.54032082647819868</v>
      </c>
      <c r="T106">
        <v>247</v>
      </c>
      <c r="U106" s="44">
        <f t="shared" si="64"/>
        <v>457.13581245783456</v>
      </c>
      <c r="V106">
        <v>41.5</v>
      </c>
      <c r="W106" s="77">
        <f t="shared" si="65"/>
        <v>189.71338957286886</v>
      </c>
      <c r="X106">
        <f t="shared" si="66"/>
        <v>1.44</v>
      </c>
      <c r="Y106" s="47">
        <f t="shared" si="67"/>
        <v>15.824221361461015</v>
      </c>
      <c r="Z106">
        <v>49.5</v>
      </c>
    </row>
    <row r="107" spans="1:26" ht="15" customHeight="1" thickBot="1">
      <c r="A107">
        <v>50</v>
      </c>
      <c r="B107" t="s">
        <v>167</v>
      </c>
      <c r="C107">
        <v>0.05</v>
      </c>
      <c r="D107">
        <v>100</v>
      </c>
      <c r="E107" s="37">
        <f t="shared" si="51"/>
        <v>50.071428571428569</v>
      </c>
      <c r="F107">
        <v>30</v>
      </c>
      <c r="G107" s="71">
        <f t="shared" si="52"/>
        <v>1.4285714285714286</v>
      </c>
      <c r="H107" s="39">
        <f t="shared" si="53"/>
        <v>100</v>
      </c>
      <c r="I107">
        <v>100</v>
      </c>
      <c r="J107" s="71">
        <f t="shared" si="54"/>
        <v>7.1428571428571438E-2</v>
      </c>
      <c r="K107" s="71">
        <f t="shared" si="55"/>
        <v>50.142857142857146</v>
      </c>
      <c r="L107" s="72">
        <f t="shared" si="56"/>
        <v>32.444595191391748</v>
      </c>
      <c r="M107" s="73">
        <f t="shared" si="57"/>
        <v>0.6357116237646232</v>
      </c>
      <c r="N107" s="73">
        <f t="shared" si="58"/>
        <v>0.84391062334430533</v>
      </c>
      <c r="O107" s="74">
        <f t="shared" si="59"/>
        <v>15.608937665569469</v>
      </c>
      <c r="P107" s="75">
        <f t="shared" si="60"/>
        <v>1.1849596063113097</v>
      </c>
      <c r="Q107" s="37">
        <f t="shared" si="61"/>
        <v>5.9247980315565489E-2</v>
      </c>
      <c r="R107" s="43">
        <f t="shared" si="62"/>
        <v>50.11849596063113</v>
      </c>
      <c r="S107" s="76">
        <f t="shared" si="63"/>
        <v>0.53648379267842372</v>
      </c>
      <c r="T107">
        <v>248</v>
      </c>
      <c r="U107" s="44">
        <f t="shared" si="64"/>
        <v>462.26932366744364</v>
      </c>
      <c r="V107">
        <v>41.5</v>
      </c>
      <c r="W107" s="77">
        <f t="shared" si="65"/>
        <v>190.57276736872097</v>
      </c>
      <c r="X107">
        <f t="shared" si="66"/>
        <v>1.44</v>
      </c>
      <c r="Y107" s="47">
        <f t="shared" si="67"/>
        <v>15.891085259539143</v>
      </c>
      <c r="Z107">
        <v>50</v>
      </c>
    </row>
    <row r="108" spans="1:26" ht="15" customHeight="1" thickBot="1">
      <c r="A108">
        <v>50.5</v>
      </c>
      <c r="B108" t="s">
        <v>167</v>
      </c>
      <c r="C108">
        <v>0.05</v>
      </c>
      <c r="D108">
        <v>100</v>
      </c>
      <c r="E108" s="37">
        <f t="shared" si="51"/>
        <v>50.571428571428569</v>
      </c>
      <c r="F108">
        <v>30</v>
      </c>
      <c r="G108" s="71">
        <f t="shared" si="52"/>
        <v>1.4285714285714286</v>
      </c>
      <c r="H108" s="39">
        <f t="shared" si="53"/>
        <v>99.999999999999986</v>
      </c>
      <c r="I108">
        <v>100</v>
      </c>
      <c r="J108" s="71">
        <f t="shared" si="54"/>
        <v>7.1428571428571438E-2</v>
      </c>
      <c r="K108" s="71">
        <f t="shared" si="55"/>
        <v>50.642857142857146</v>
      </c>
      <c r="L108" s="72">
        <f t="shared" si="56"/>
        <v>32.187392702372094</v>
      </c>
      <c r="M108" s="73">
        <f t="shared" si="57"/>
        <v>0.62942633934887127</v>
      </c>
      <c r="N108" s="73">
        <f t="shared" si="58"/>
        <v>0.8463104042309898</v>
      </c>
      <c r="O108" s="74">
        <f t="shared" si="59"/>
        <v>15.36895957690102</v>
      </c>
      <c r="P108" s="75">
        <f t="shared" si="60"/>
        <v>1.1815995585079238</v>
      </c>
      <c r="Q108" s="37">
        <f t="shared" si="61"/>
        <v>5.9079977925396189E-2</v>
      </c>
      <c r="R108" s="43">
        <f t="shared" si="62"/>
        <v>50.618159955850793</v>
      </c>
      <c r="S108" s="76">
        <f t="shared" si="63"/>
        <v>0.53269005968797523</v>
      </c>
      <c r="T108">
        <v>249</v>
      </c>
      <c r="U108" s="44">
        <f t="shared" si="64"/>
        <v>467.43879573396299</v>
      </c>
      <c r="V108">
        <v>41.5</v>
      </c>
      <c r="W108" s="77">
        <f t="shared" si="65"/>
        <v>191.43426673720481</v>
      </c>
      <c r="X108">
        <f t="shared" si="66"/>
        <v>1.44</v>
      </c>
      <c r="Y108" s="47">
        <f t="shared" si="67"/>
        <v>15.958863020700106</v>
      </c>
      <c r="Z108">
        <v>50.5</v>
      </c>
    </row>
    <row r="109" spans="1:26" ht="15" customHeight="1" thickBot="1">
      <c r="A109">
        <v>51</v>
      </c>
      <c r="B109" t="s">
        <v>167</v>
      </c>
      <c r="C109">
        <v>0.05</v>
      </c>
      <c r="D109">
        <v>100</v>
      </c>
      <c r="E109" s="37">
        <f t="shared" si="51"/>
        <v>51.071428571428569</v>
      </c>
      <c r="F109">
        <v>30</v>
      </c>
      <c r="G109" s="71">
        <f t="shared" si="52"/>
        <v>1.4285714285714286</v>
      </c>
      <c r="H109" s="39">
        <f t="shared" si="53"/>
        <v>100</v>
      </c>
      <c r="I109">
        <v>100</v>
      </c>
      <c r="J109" s="71">
        <f t="shared" si="54"/>
        <v>7.1428571428571438E-2</v>
      </c>
      <c r="K109" s="71">
        <f t="shared" si="55"/>
        <v>51.142857142857146</v>
      </c>
      <c r="L109" s="72">
        <f t="shared" si="56"/>
        <v>31.93380730058605</v>
      </c>
      <c r="M109" s="73">
        <f t="shared" si="57"/>
        <v>0.62326412343916204</v>
      </c>
      <c r="N109" s="73">
        <f t="shared" si="58"/>
        <v>0.84865974053230253</v>
      </c>
      <c r="O109" s="74">
        <f t="shared" si="59"/>
        <v>15.134025946769752</v>
      </c>
      <c r="P109" s="75">
        <f t="shared" si="60"/>
        <v>1.1783285482268462</v>
      </c>
      <c r="Q109" s="37">
        <f t="shared" si="61"/>
        <v>5.8916427411342315E-2</v>
      </c>
      <c r="R109" s="43">
        <f t="shared" si="62"/>
        <v>51.117832854822687</v>
      </c>
      <c r="S109" s="76">
        <f t="shared" si="63"/>
        <v>0.52893916928097218</v>
      </c>
      <c r="T109">
        <v>250</v>
      </c>
      <c r="U109" s="44">
        <f t="shared" si="64"/>
        <v>472.64414231194922</v>
      </c>
      <c r="V109">
        <v>41.5</v>
      </c>
      <c r="W109" s="77">
        <f t="shared" si="65"/>
        <v>192.29784487149425</v>
      </c>
      <c r="X109">
        <f t="shared" si="66"/>
        <v>1.44</v>
      </c>
      <c r="Y109" s="47">
        <f t="shared" si="67"/>
        <v>16.027527769767978</v>
      </c>
      <c r="Z109">
        <v>51</v>
      </c>
    </row>
    <row r="110" spans="1:26" ht="15" customHeight="1" thickBot="1">
      <c r="A110">
        <v>51.5</v>
      </c>
      <c r="B110" t="s">
        <v>167</v>
      </c>
      <c r="C110">
        <v>0.05</v>
      </c>
      <c r="D110">
        <v>100</v>
      </c>
      <c r="E110" s="37">
        <f t="shared" si="51"/>
        <v>51.571428571428569</v>
      </c>
      <c r="F110">
        <v>30</v>
      </c>
      <c r="G110" s="71">
        <f t="shared" si="52"/>
        <v>1.4285714285714286</v>
      </c>
      <c r="H110" s="39">
        <f t="shared" si="53"/>
        <v>100</v>
      </c>
      <c r="I110">
        <v>100</v>
      </c>
      <c r="J110" s="71">
        <f t="shared" si="54"/>
        <v>7.1428571428571438E-2</v>
      </c>
      <c r="K110" s="71">
        <f t="shared" si="55"/>
        <v>51.642857142857146</v>
      </c>
      <c r="L110" s="72">
        <f t="shared" si="56"/>
        <v>31.683772945352601</v>
      </c>
      <c r="M110" s="73">
        <f t="shared" si="57"/>
        <v>0.6172213964806107</v>
      </c>
      <c r="N110" s="73">
        <f t="shared" si="58"/>
        <v>0.85095990198724925</v>
      </c>
      <c r="O110" s="74">
        <f t="shared" si="59"/>
        <v>14.90400980127508</v>
      </c>
      <c r="P110" s="75">
        <f t="shared" si="60"/>
        <v>1.1751435028427273</v>
      </c>
      <c r="Q110" s="37">
        <f t="shared" si="61"/>
        <v>5.8757175142136367E-2</v>
      </c>
      <c r="R110" s="43">
        <f t="shared" si="62"/>
        <v>51.617514350284274</v>
      </c>
      <c r="S110" s="76">
        <f t="shared" si="63"/>
        <v>0.52523065905357358</v>
      </c>
      <c r="T110">
        <v>251</v>
      </c>
      <c r="U110" s="44">
        <f t="shared" si="64"/>
        <v>477.88527892161369</v>
      </c>
      <c r="V110">
        <v>41.5</v>
      </c>
      <c r="W110" s="77">
        <f t="shared" si="65"/>
        <v>193.16345996966427</v>
      </c>
      <c r="X110">
        <f t="shared" si="66"/>
        <v>1.44</v>
      </c>
      <c r="Y110" s="47">
        <f t="shared" si="67"/>
        <v>16.097053675653878</v>
      </c>
      <c r="Z110">
        <v>51.5</v>
      </c>
    </row>
    <row r="111" spans="1:26" ht="15" customHeight="1" thickBot="1">
      <c r="A111">
        <v>52</v>
      </c>
      <c r="B111" t="s">
        <v>167</v>
      </c>
      <c r="C111">
        <v>0.05</v>
      </c>
      <c r="D111">
        <v>100</v>
      </c>
      <c r="E111" s="37">
        <f t="shared" si="51"/>
        <v>52.071428571428569</v>
      </c>
      <c r="F111">
        <v>30</v>
      </c>
      <c r="G111" s="71">
        <f t="shared" si="52"/>
        <v>1.4285714285714286</v>
      </c>
      <c r="H111" s="39">
        <f t="shared" si="53"/>
        <v>100</v>
      </c>
      <c r="I111">
        <v>100</v>
      </c>
      <c r="J111" s="71">
        <f t="shared" si="54"/>
        <v>7.1428571428571438E-2</v>
      </c>
      <c r="K111" s="71">
        <f t="shared" si="55"/>
        <v>52.142857142857146</v>
      </c>
      <c r="L111" s="72">
        <f t="shared" si="56"/>
        <v>31.437224891508951</v>
      </c>
      <c r="M111" s="73">
        <f t="shared" si="57"/>
        <v>0.61129471640466515</v>
      </c>
      <c r="N111" s="73">
        <f t="shared" si="58"/>
        <v>0.85321212368287214</v>
      </c>
      <c r="O111" s="74">
        <f t="shared" si="59"/>
        <v>14.678787631712781</v>
      </c>
      <c r="P111" s="75">
        <f t="shared" si="60"/>
        <v>1.172041479771198</v>
      </c>
      <c r="Q111" s="37">
        <f t="shared" si="61"/>
        <v>5.8602073988559905E-2</v>
      </c>
      <c r="R111" s="43">
        <f t="shared" si="62"/>
        <v>52.11720414797712</v>
      </c>
      <c r="S111" s="76">
        <f t="shared" si="63"/>
        <v>0.52156406317974335</v>
      </c>
      <c r="T111">
        <v>252</v>
      </c>
      <c r="U111" s="44">
        <f t="shared" si="64"/>
        <v>483.16212291097753</v>
      </c>
      <c r="V111">
        <v>41.5</v>
      </c>
      <c r="W111" s="77">
        <f t="shared" si="65"/>
        <v>194.03107121055464</v>
      </c>
      <c r="X111">
        <f t="shared" si="66"/>
        <v>1.44</v>
      </c>
      <c r="Y111" s="47">
        <f t="shared" si="67"/>
        <v>16.167415901114719</v>
      </c>
      <c r="Z111">
        <v>52</v>
      </c>
    </row>
    <row r="112" spans="1:26" ht="15" customHeight="1" thickBot="1">
      <c r="A112">
        <v>52.5</v>
      </c>
      <c r="B112" t="s">
        <v>167</v>
      </c>
      <c r="C112">
        <v>0.05</v>
      </c>
      <c r="D112">
        <v>100</v>
      </c>
      <c r="E112" s="37">
        <f t="shared" si="51"/>
        <v>52.571428571428569</v>
      </c>
      <c r="F112">
        <v>30</v>
      </c>
      <c r="G112" s="71">
        <f t="shared" si="52"/>
        <v>1.4285714285714286</v>
      </c>
      <c r="H112" s="39">
        <f t="shared" si="53"/>
        <v>100.00000000000001</v>
      </c>
      <c r="I112">
        <v>100</v>
      </c>
      <c r="J112" s="71">
        <f t="shared" si="54"/>
        <v>7.1428571428571438E-2</v>
      </c>
      <c r="K112" s="71">
        <f t="shared" si="55"/>
        <v>52.642857142857146</v>
      </c>
      <c r="L112" s="72">
        <f t="shared" si="56"/>
        <v>31.194099670291568</v>
      </c>
      <c r="M112" s="73">
        <f t="shared" si="57"/>
        <v>0.60548077209103379</v>
      </c>
      <c r="N112" s="73">
        <f t="shared" si="58"/>
        <v>0.85541760694990965</v>
      </c>
      <c r="O112" s="74">
        <f t="shared" si="59"/>
        <v>14.45823930500903</v>
      </c>
      <c r="P112" s="75">
        <f t="shared" si="60"/>
        <v>1.1690196599595553</v>
      </c>
      <c r="Q112" s="37">
        <f t="shared" si="61"/>
        <v>5.8450982997977768E-2</v>
      </c>
      <c r="R112" s="43">
        <f t="shared" si="62"/>
        <v>52.616901965995957</v>
      </c>
      <c r="S112" s="76">
        <f t="shared" si="63"/>
        <v>0.51793891311629581</v>
      </c>
      <c r="T112">
        <v>253</v>
      </c>
      <c r="U112" s="44">
        <f t="shared" si="64"/>
        <v>488.47459341830233</v>
      </c>
      <c r="V112">
        <v>41.5</v>
      </c>
      <c r="W112" s="77">
        <f t="shared" si="65"/>
        <v>194.90063873007881</v>
      </c>
      <c r="X112">
        <f t="shared" si="66"/>
        <v>1.44</v>
      </c>
      <c r="Y112" s="47">
        <f t="shared" si="67"/>
        <v>16.23859055538696</v>
      </c>
      <c r="Z112">
        <v>52.5</v>
      </c>
    </row>
    <row r="113" spans="1:26" ht="15" customHeight="1" thickBot="1">
      <c r="A113">
        <v>53</v>
      </c>
      <c r="B113" t="s">
        <v>167</v>
      </c>
      <c r="C113">
        <v>0.05</v>
      </c>
      <c r="D113">
        <v>100</v>
      </c>
      <c r="E113" s="37">
        <f t="shared" si="51"/>
        <v>53.071428571428569</v>
      </c>
      <c r="F113">
        <v>30</v>
      </c>
      <c r="G113" s="71">
        <f t="shared" si="52"/>
        <v>1.4285714285714286</v>
      </c>
      <c r="H113" s="39">
        <f t="shared" si="53"/>
        <v>100</v>
      </c>
      <c r="I113">
        <v>100</v>
      </c>
      <c r="J113" s="71">
        <f t="shared" si="54"/>
        <v>7.1428571428571438E-2</v>
      </c>
      <c r="K113" s="71">
        <f t="shared" si="55"/>
        <v>53.142857142857146</v>
      </c>
      <c r="L113" s="72">
        <f t="shared" si="56"/>
        <v>30.95433506983526</v>
      </c>
      <c r="M113" s="73">
        <f t="shared" si="57"/>
        <v>0.59977637719919363</v>
      </c>
      <c r="N113" s="73">
        <f t="shared" si="58"/>
        <v>0.85757752024496092</v>
      </c>
      <c r="O113" s="74">
        <f t="shared" si="59"/>
        <v>14.242247975503917</v>
      </c>
      <c r="P113" s="75">
        <f t="shared" si="60"/>
        <v>1.1660753417537777</v>
      </c>
      <c r="Q113" s="37">
        <f t="shared" si="61"/>
        <v>5.830376708768889E-2</v>
      </c>
      <c r="R113" s="43">
        <f t="shared" si="62"/>
        <v>53.11660753417538</v>
      </c>
      <c r="S113" s="76">
        <f t="shared" si="63"/>
        <v>0.51435473825999078</v>
      </c>
      <c r="T113">
        <v>254</v>
      </c>
      <c r="U113" s="44">
        <f t="shared" si="64"/>
        <v>493.82261133484627</v>
      </c>
      <c r="V113">
        <v>41.5</v>
      </c>
      <c r="W113" s="77">
        <f t="shared" si="65"/>
        <v>195.77212359798625</v>
      </c>
      <c r="X113">
        <f t="shared" si="66"/>
        <v>1.44</v>
      </c>
      <c r="Y113" s="47">
        <f t="shared" si="67"/>
        <v>16.310554649505097</v>
      </c>
      <c r="Z113">
        <v>53</v>
      </c>
    </row>
    <row r="114" spans="1:26" ht="15" customHeight="1" thickBot="1">
      <c r="A114">
        <v>53.5</v>
      </c>
      <c r="B114" t="s">
        <v>167</v>
      </c>
      <c r="C114">
        <v>0.05</v>
      </c>
      <c r="D114">
        <v>100</v>
      </c>
      <c r="E114" s="37">
        <f t="shared" si="51"/>
        <v>53.571428571428569</v>
      </c>
      <c r="F114">
        <v>30</v>
      </c>
      <c r="G114" s="71">
        <f t="shared" si="52"/>
        <v>1.4285714285714286</v>
      </c>
      <c r="H114" s="39">
        <f t="shared" si="53"/>
        <v>100</v>
      </c>
      <c r="I114">
        <v>100</v>
      </c>
      <c r="J114" s="71">
        <f t="shared" si="54"/>
        <v>7.1428571428571438E-2</v>
      </c>
      <c r="K114" s="71">
        <f t="shared" si="55"/>
        <v>53.642857142857146</v>
      </c>
      <c r="L114" s="72">
        <f t="shared" si="56"/>
        <v>30.717870115359268</v>
      </c>
      <c r="M114" s="73">
        <f t="shared" si="57"/>
        <v>0.5941784643453345</v>
      </c>
      <c r="N114" s="73">
        <f t="shared" si="58"/>
        <v>0.8596930000183336</v>
      </c>
      <c r="O114" s="74">
        <f t="shared" si="59"/>
        <v>14.030699998166639</v>
      </c>
      <c r="P114" s="75">
        <f t="shared" si="60"/>
        <v>1.1632059351171573</v>
      </c>
      <c r="Q114" s="37">
        <f t="shared" si="61"/>
        <v>5.816029675585787E-2</v>
      </c>
      <c r="R114" s="43">
        <f t="shared" si="62"/>
        <v>53.616320593511716</v>
      </c>
      <c r="S114" s="76">
        <f t="shared" si="63"/>
        <v>0.51081106655932718</v>
      </c>
      <c r="T114">
        <v>255</v>
      </c>
      <c r="U114" s="44">
        <f t="shared" si="64"/>
        <v>499.20609926798346</v>
      </c>
      <c r="V114">
        <v>41.5</v>
      </c>
      <c r="W114" s="77">
        <f t="shared" si="65"/>
        <v>196.64548779508058</v>
      </c>
      <c r="X114">
        <f t="shared" si="66"/>
        <v>1.44</v>
      </c>
      <c r="Y114" s="47">
        <f t="shared" si="67"/>
        <v>16.383286054129016</v>
      </c>
      <c r="Z114">
        <v>53.5</v>
      </c>
    </row>
    <row r="115" spans="1:26" ht="15" customHeight="1" thickBot="1">
      <c r="A115">
        <v>54</v>
      </c>
      <c r="B115" t="s">
        <v>167</v>
      </c>
      <c r="C115">
        <v>0.05</v>
      </c>
      <c r="D115">
        <v>100</v>
      </c>
      <c r="E115" s="37">
        <f t="shared" si="51"/>
        <v>54.071428571428569</v>
      </c>
      <c r="F115">
        <v>30</v>
      </c>
      <c r="G115" s="71">
        <f t="shared" si="52"/>
        <v>1.4285714285714286</v>
      </c>
      <c r="H115" s="39">
        <f t="shared" si="53"/>
        <v>100</v>
      </c>
      <c r="I115">
        <v>100</v>
      </c>
      <c r="J115" s="71">
        <f t="shared" si="54"/>
        <v>7.1428571428571438E-2</v>
      </c>
      <c r="K115" s="71">
        <f t="shared" si="55"/>
        <v>54.142857142857146</v>
      </c>
      <c r="L115" s="72">
        <f t="shared" si="56"/>
        <v>30.484645049103268</v>
      </c>
      <c r="M115" s="73">
        <f t="shared" si="57"/>
        <v>0.58868407960237901</v>
      </c>
      <c r="N115" s="73">
        <f t="shared" si="58"/>
        <v>0.86176515156688305</v>
      </c>
      <c r="O115" s="74">
        <f t="shared" si="59"/>
        <v>13.823484843311689</v>
      </c>
      <c r="P115" s="75">
        <f t="shared" si="60"/>
        <v>1.1604089561776487</v>
      </c>
      <c r="Q115" s="37">
        <f t="shared" si="61"/>
        <v>5.8020447808882436E-2</v>
      </c>
      <c r="R115" s="43">
        <f t="shared" si="62"/>
        <v>54.116040895617765</v>
      </c>
      <c r="S115" s="76">
        <f t="shared" si="63"/>
        <v>0.50730742508355531</v>
      </c>
      <c r="T115">
        <v>256</v>
      </c>
      <c r="U115" s="44">
        <f t="shared" si="64"/>
        <v>504.62498150472743</v>
      </c>
      <c r="V115">
        <v>41.5</v>
      </c>
      <c r="W115" s="77">
        <f t="shared" si="65"/>
        <v>197.52069419089767</v>
      </c>
      <c r="X115">
        <f t="shared" si="66"/>
        <v>1.44</v>
      </c>
      <c r="Y115" s="47">
        <f t="shared" si="67"/>
        <v>16.45676345971718</v>
      </c>
      <c r="Z115">
        <v>54</v>
      </c>
    </row>
    <row r="116" spans="1:26" ht="15" customHeight="1" thickBot="1">
      <c r="A116">
        <v>54.5</v>
      </c>
      <c r="B116" t="s">
        <v>167</v>
      </c>
      <c r="C116">
        <v>0.05</v>
      </c>
      <c r="D116">
        <v>100</v>
      </c>
      <c r="E116" s="37">
        <f t="shared" si="51"/>
        <v>54.571428571428569</v>
      </c>
      <c r="F116">
        <v>30</v>
      </c>
      <c r="G116" s="71">
        <f t="shared" si="52"/>
        <v>1.4285714285714286</v>
      </c>
      <c r="H116" s="39">
        <f t="shared" si="53"/>
        <v>100</v>
      </c>
      <c r="I116">
        <v>100</v>
      </c>
      <c r="J116" s="71">
        <f t="shared" si="54"/>
        <v>7.1428571428571438E-2</v>
      </c>
      <c r="K116" s="71">
        <f t="shared" si="55"/>
        <v>54.642857142857146</v>
      </c>
      <c r="L116" s="72">
        <f t="shared" si="56"/>
        <v>30.254601310071418</v>
      </c>
      <c r="M116" s="73">
        <f t="shared" si="57"/>
        <v>0.58329037730235711</v>
      </c>
      <c r="N116" s="73">
        <f t="shared" si="58"/>
        <v>0.86379504987125932</v>
      </c>
      <c r="O116" s="74">
        <f t="shared" si="59"/>
        <v>13.620495012874073</v>
      </c>
      <c r="P116" s="75">
        <f t="shared" si="60"/>
        <v>1.157682022082716</v>
      </c>
      <c r="Q116" s="37">
        <f t="shared" si="61"/>
        <v>5.7884101104135804E-2</v>
      </c>
      <c r="R116" s="43">
        <f t="shared" si="62"/>
        <v>54.615768202208272</v>
      </c>
      <c r="S116" s="76">
        <f t="shared" si="63"/>
        <v>0.50384334055131519</v>
      </c>
      <c r="T116">
        <v>257</v>
      </c>
      <c r="U116" s="44">
        <f t="shared" si="64"/>
        <v>510.07918397568892</v>
      </c>
      <c r="V116">
        <v>41.5</v>
      </c>
      <c r="W116" s="77">
        <f t="shared" si="65"/>
        <v>198.39770652184507</v>
      </c>
      <c r="X116">
        <f t="shared" si="66"/>
        <v>1.44</v>
      </c>
      <c r="Y116" s="47">
        <f t="shared" si="67"/>
        <v>16.530966338894885</v>
      </c>
      <c r="Z116">
        <v>54.5</v>
      </c>
    </row>
    <row r="117" spans="1:26" ht="15" customHeight="1" thickBot="1">
      <c r="A117">
        <v>55</v>
      </c>
      <c r="B117" t="s">
        <v>167</v>
      </c>
      <c r="C117">
        <v>0.05</v>
      </c>
      <c r="D117">
        <v>100</v>
      </c>
      <c r="E117" s="37">
        <f t="shared" si="51"/>
        <v>55.071428571428569</v>
      </c>
      <c r="F117">
        <v>30</v>
      </c>
      <c r="G117" s="71">
        <f t="shared" si="52"/>
        <v>1.4285714285714286</v>
      </c>
      <c r="H117" s="39">
        <f t="shared" si="53"/>
        <v>100</v>
      </c>
      <c r="I117">
        <v>100</v>
      </c>
      <c r="J117" s="71">
        <f t="shared" si="54"/>
        <v>7.1428571428571438E-2</v>
      </c>
      <c r="K117" s="71">
        <f t="shared" si="55"/>
        <v>55.142857142857146</v>
      </c>
      <c r="L117" s="72">
        <f t="shared" si="56"/>
        <v>30.027681513637486</v>
      </c>
      <c r="M117" s="73">
        <f t="shared" si="57"/>
        <v>0.57799461512192074</v>
      </c>
      <c r="N117" s="73">
        <f t="shared" si="58"/>
        <v>0.8657837404170875</v>
      </c>
      <c r="O117" s="74">
        <f t="shared" si="59"/>
        <v>13.421625958291244</v>
      </c>
      <c r="P117" s="75">
        <f t="shared" si="60"/>
        <v>1.1550228461419874</v>
      </c>
      <c r="Q117" s="37">
        <f t="shared" si="61"/>
        <v>5.7751142307099372E-2</v>
      </c>
      <c r="R117" s="43">
        <f t="shared" si="62"/>
        <v>55.115502284614202</v>
      </c>
      <c r="S117" s="76">
        <f t="shared" si="63"/>
        <v>0.50041833982119133</v>
      </c>
      <c r="T117">
        <v>258</v>
      </c>
      <c r="U117" s="44">
        <f t="shared" si="64"/>
        <v>515.56863421949754</v>
      </c>
      <c r="V117">
        <v>41.5</v>
      </c>
      <c r="W117" s="77">
        <f t="shared" si="65"/>
        <v>199.27648936980282</v>
      </c>
      <c r="X117">
        <f t="shared" si="66"/>
        <v>1.44</v>
      </c>
      <c r="Y117" s="47">
        <f t="shared" si="67"/>
        <v>16.605874910877475</v>
      </c>
      <c r="Z117">
        <v>55</v>
      </c>
    </row>
    <row r="118" spans="1:26" ht="15" customHeight="1" thickBot="1">
      <c r="A118">
        <v>55.5</v>
      </c>
      <c r="B118" t="s">
        <v>167</v>
      </c>
      <c r="C118">
        <v>0.05</v>
      </c>
      <c r="D118">
        <v>100</v>
      </c>
      <c r="E118" s="37">
        <f t="shared" si="51"/>
        <v>55.571428571428569</v>
      </c>
      <c r="F118">
        <v>30</v>
      </c>
      <c r="G118" s="71">
        <f t="shared" si="52"/>
        <v>1.4285714285714286</v>
      </c>
      <c r="H118" s="39">
        <f t="shared" si="53"/>
        <v>100</v>
      </c>
      <c r="I118">
        <v>100</v>
      </c>
      <c r="J118" s="71">
        <f t="shared" si="54"/>
        <v>7.1428571428571438E-2</v>
      </c>
      <c r="K118" s="71">
        <f t="shared" si="55"/>
        <v>55.642857142857146</v>
      </c>
      <c r="L118" s="72">
        <f t="shared" si="56"/>
        <v>29.803829431059519</v>
      </c>
      <c r="M118" s="73">
        <f t="shared" si="57"/>
        <v>0.57279414943316309</v>
      </c>
      <c r="N118" s="73">
        <f t="shared" si="58"/>
        <v>0.86773223999969784</v>
      </c>
      <c r="O118" s="74">
        <f t="shared" si="59"/>
        <v>13.226776000030213</v>
      </c>
      <c r="P118" s="75">
        <f t="shared" si="60"/>
        <v>1.1524292332394475</v>
      </c>
      <c r="Q118" s="37">
        <f t="shared" si="61"/>
        <v>5.7621461661972379E-2</v>
      </c>
      <c r="R118" s="43">
        <f t="shared" si="62"/>
        <v>55.615242923323947</v>
      </c>
      <c r="S118" s="76">
        <f t="shared" si="63"/>
        <v>0.49703195034636027</v>
      </c>
      <c r="T118">
        <v>259</v>
      </c>
      <c r="U118" s="44">
        <f t="shared" si="64"/>
        <v>521.09326134771413</v>
      </c>
      <c r="V118">
        <v>41.5</v>
      </c>
      <c r="W118" s="77">
        <f t="shared" si="65"/>
        <v>200.15700814118583</v>
      </c>
      <c r="X118">
        <f t="shared" si="66"/>
        <v>1.44</v>
      </c>
      <c r="Y118" s="47">
        <f t="shared" si="67"/>
        <v>16.681470107818889</v>
      </c>
      <c r="Z118">
        <v>55.5</v>
      </c>
    </row>
    <row r="119" spans="1:26" ht="15" customHeight="1" thickBot="1">
      <c r="A119">
        <v>56</v>
      </c>
      <c r="B119" t="s">
        <v>167</v>
      </c>
      <c r="C119">
        <v>0.05</v>
      </c>
      <c r="D119">
        <v>100</v>
      </c>
      <c r="E119" s="37">
        <f t="shared" si="51"/>
        <v>56.071428571428569</v>
      </c>
      <c r="F119">
        <v>30</v>
      </c>
      <c r="G119" s="71">
        <f t="shared" si="52"/>
        <v>1.4285714285714286</v>
      </c>
      <c r="H119" s="39">
        <f t="shared" si="53"/>
        <v>100</v>
      </c>
      <c r="I119">
        <v>100</v>
      </c>
      <c r="J119" s="71">
        <f t="shared" si="54"/>
        <v>7.1428571428571438E-2</v>
      </c>
      <c r="K119" s="71">
        <f t="shared" si="55"/>
        <v>56.142857142857146</v>
      </c>
      <c r="L119" s="72">
        <f t="shared" si="56"/>
        <v>29.582989968948588</v>
      </c>
      <c r="M119" s="73">
        <f t="shared" si="57"/>
        <v>0.56768643090318582</v>
      </c>
      <c r="N119" s="73">
        <f t="shared" si="58"/>
        <v>0.86964153751210838</v>
      </c>
      <c r="O119" s="74">
        <f t="shared" si="59"/>
        <v>13.035846248789158</v>
      </c>
      <c r="P119" s="75">
        <f t="shared" si="60"/>
        <v>1.1498990754981924</v>
      </c>
      <c r="Q119" s="37">
        <f t="shared" si="61"/>
        <v>5.7494953774909624E-2</v>
      </c>
      <c r="R119" s="43">
        <f t="shared" si="62"/>
        <v>56.11498990754982</v>
      </c>
      <c r="S119" s="76">
        <f t="shared" si="63"/>
        <v>0.49368370059540773</v>
      </c>
      <c r="T119">
        <v>260</v>
      </c>
      <c r="U119" s="44">
        <f t="shared" si="64"/>
        <v>526.65299601025254</v>
      </c>
      <c r="V119">
        <v>41.5</v>
      </c>
      <c r="W119" s="77">
        <f t="shared" si="65"/>
        <v>201.03922904646569</v>
      </c>
      <c r="X119">
        <f t="shared" si="66"/>
        <v>1.44</v>
      </c>
      <c r="Y119" s="47">
        <f t="shared" si="67"/>
        <v>16.757733542964857</v>
      </c>
      <c r="Z119">
        <v>56</v>
      </c>
    </row>
    <row r="120" spans="1:26" ht="15" customHeight="1" thickBot="1">
      <c r="A120">
        <v>56.5</v>
      </c>
      <c r="B120" t="s">
        <v>167</v>
      </c>
      <c r="C120">
        <v>0.05</v>
      </c>
      <c r="D120">
        <v>100</v>
      </c>
      <c r="E120" s="37">
        <f t="shared" si="51"/>
        <v>56.571428571428569</v>
      </c>
      <c r="F120">
        <v>30</v>
      </c>
      <c r="G120" s="71">
        <f t="shared" si="52"/>
        <v>1.4285714285714286</v>
      </c>
      <c r="H120" s="39">
        <f t="shared" si="53"/>
        <v>99.999999999999986</v>
      </c>
      <c r="I120">
        <v>100</v>
      </c>
      <c r="J120" s="71">
        <f t="shared" si="54"/>
        <v>7.1428571428571438E-2</v>
      </c>
      <c r="K120" s="71">
        <f t="shared" si="55"/>
        <v>56.642857142857146</v>
      </c>
      <c r="L120" s="72">
        <f t="shared" si="56"/>
        <v>29.365109148731886</v>
      </c>
      <c r="M120" s="73">
        <f t="shared" si="57"/>
        <v>0.56266900032702127</v>
      </c>
      <c r="N120" s="73">
        <f t="shared" si="58"/>
        <v>0.8715125947160377</v>
      </c>
      <c r="O120" s="74">
        <f t="shared" si="59"/>
        <v>12.848740528396235</v>
      </c>
      <c r="P120" s="75">
        <f t="shared" si="60"/>
        <v>1.1474303481819754</v>
      </c>
      <c r="Q120" s="37">
        <f t="shared" si="61"/>
        <v>5.7371517409098773E-2</v>
      </c>
      <c r="R120" s="43">
        <f t="shared" si="62"/>
        <v>56.614743034818197</v>
      </c>
      <c r="S120" s="76">
        <f t="shared" si="63"/>
        <v>0.4903731204412814</v>
      </c>
      <c r="T120">
        <v>261</v>
      </c>
      <c r="U120" s="44">
        <f t="shared" si="64"/>
        <v>532.24777036133014</v>
      </c>
      <c r="V120">
        <v>41.5</v>
      </c>
      <c r="W120" s="77">
        <f t="shared" si="65"/>
        <v>201.92311908014912</v>
      </c>
      <c r="X120">
        <f t="shared" si="66"/>
        <v>1.44</v>
      </c>
      <c r="Y120" s="47">
        <f t="shared" si="67"/>
        <v>16.834647480498944</v>
      </c>
      <c r="Z120">
        <v>56.5</v>
      </c>
    </row>
    <row r="121" spans="1:26" ht="15" customHeight="1" thickBot="1">
      <c r="A121">
        <v>57</v>
      </c>
      <c r="B121" t="s">
        <v>167</v>
      </c>
      <c r="C121">
        <v>0.05</v>
      </c>
      <c r="D121">
        <v>100</v>
      </c>
      <c r="E121" s="37">
        <f t="shared" si="51"/>
        <v>57.071428571428569</v>
      </c>
      <c r="F121">
        <v>30</v>
      </c>
      <c r="G121" s="71">
        <f t="shared" si="52"/>
        <v>1.4285714285714286</v>
      </c>
      <c r="H121" s="39">
        <f t="shared" si="53"/>
        <v>100</v>
      </c>
      <c r="I121">
        <v>100</v>
      </c>
      <c r="J121" s="71">
        <f t="shared" si="54"/>
        <v>7.1428571428571438E-2</v>
      </c>
      <c r="K121" s="71">
        <f t="shared" si="55"/>
        <v>57.142857142857146</v>
      </c>
      <c r="L121" s="72">
        <f t="shared" si="56"/>
        <v>29.150134086146899</v>
      </c>
      <c r="M121" s="73">
        <f t="shared" si="57"/>
        <v>0.55773948467960055</v>
      </c>
      <c r="N121" s="73">
        <f t="shared" si="58"/>
        <v>0.87334634699579916</v>
      </c>
      <c r="O121" s="74">
        <f t="shared" si="59"/>
        <v>12.665365300420078</v>
      </c>
      <c r="P121" s="75">
        <f t="shared" si="60"/>
        <v>1.1450211058188693</v>
      </c>
      <c r="Q121" s="37">
        <f t="shared" si="61"/>
        <v>5.7251055290943466E-2</v>
      </c>
      <c r="R121" s="43">
        <f t="shared" si="62"/>
        <v>57.114502110581888</v>
      </c>
      <c r="S121" s="76">
        <f t="shared" si="63"/>
        <v>0.48709974152024871</v>
      </c>
      <c r="T121">
        <v>262</v>
      </c>
      <c r="U121" s="44">
        <f t="shared" si="64"/>
        <v>537.87751802596404</v>
      </c>
      <c r="V121">
        <v>41.5</v>
      </c>
      <c r="W121" s="77">
        <f t="shared" si="65"/>
        <v>202.8086460012106</v>
      </c>
      <c r="X121">
        <f t="shared" si="66"/>
        <v>1.44</v>
      </c>
      <c r="Y121" s="47">
        <f t="shared" si="67"/>
        <v>16.91219480697718</v>
      </c>
      <c r="Z121">
        <v>57</v>
      </c>
    </row>
    <row r="122" spans="1:26" ht="15" customHeight="1" thickBot="1">
      <c r="A122">
        <v>57.5</v>
      </c>
      <c r="B122" t="s">
        <v>167</v>
      </c>
      <c r="C122">
        <v>0.05</v>
      </c>
      <c r="D122">
        <v>100</v>
      </c>
      <c r="E122" s="37">
        <f t="shared" si="51"/>
        <v>57.571428571428569</v>
      </c>
      <c r="F122">
        <v>30</v>
      </c>
      <c r="G122" s="71">
        <f t="shared" si="52"/>
        <v>1.4285714285714286</v>
      </c>
      <c r="H122" s="39">
        <f t="shared" si="53"/>
        <v>100.00000000000001</v>
      </c>
      <c r="I122">
        <v>100</v>
      </c>
      <c r="J122" s="71">
        <f t="shared" si="54"/>
        <v>7.1428571428571438E-2</v>
      </c>
      <c r="K122" s="71">
        <f t="shared" si="55"/>
        <v>57.642857142857146</v>
      </c>
      <c r="L122" s="72">
        <f t="shared" si="56"/>
        <v>28.938012970800187</v>
      </c>
      <c r="M122" s="73">
        <f t="shared" si="57"/>
        <v>0.55289559337345029</v>
      </c>
      <c r="N122" s="73">
        <f t="shared" si="58"/>
        <v>0.8751437040949851</v>
      </c>
      <c r="O122" s="74">
        <f t="shared" si="59"/>
        <v>12.485629590501489</v>
      </c>
      <c r="P122" s="75">
        <f t="shared" si="60"/>
        <v>1.1426694785333946</v>
      </c>
      <c r="Q122" s="37">
        <f t="shared" si="61"/>
        <v>5.7133473926669731E-2</v>
      </c>
      <c r="R122" s="43">
        <f t="shared" si="62"/>
        <v>57.614266947853338</v>
      </c>
      <c r="S122" s="76">
        <f t="shared" si="63"/>
        <v>0.48386309756263607</v>
      </c>
      <c r="T122">
        <v>263</v>
      </c>
      <c r="U122" s="44">
        <f t="shared" si="64"/>
        <v>543.54217406702446</v>
      </c>
      <c r="V122">
        <v>41.5</v>
      </c>
      <c r="W122" s="77">
        <f t="shared" si="65"/>
        <v>203.69577831397484</v>
      </c>
      <c r="X122">
        <f t="shared" si="66"/>
        <v>1.44</v>
      </c>
      <c r="Y122" s="47">
        <f t="shared" si="67"/>
        <v>16.990359004254543</v>
      </c>
      <c r="Z122">
        <v>57.5</v>
      </c>
    </row>
    <row r="123" spans="1:26" ht="15" customHeight="1" thickBot="1">
      <c r="A123">
        <v>58</v>
      </c>
      <c r="B123" t="s">
        <v>167</v>
      </c>
      <c r="C123">
        <v>0.05</v>
      </c>
      <c r="D123">
        <v>100</v>
      </c>
      <c r="E123" s="37">
        <f t="shared" si="51"/>
        <v>58.071428571428569</v>
      </c>
      <c r="F123">
        <v>30</v>
      </c>
      <c r="G123" s="71">
        <f t="shared" si="52"/>
        <v>1.4285714285714286</v>
      </c>
      <c r="H123" s="39">
        <f t="shared" si="53"/>
        <v>100.00000000000001</v>
      </c>
      <c r="I123">
        <v>100</v>
      </c>
      <c r="J123" s="71">
        <f t="shared" si="54"/>
        <v>7.1428571428571438E-2</v>
      </c>
      <c r="K123" s="71">
        <f t="shared" si="55"/>
        <v>58.142857142857146</v>
      </c>
      <c r="L123" s="72">
        <f t="shared" si="56"/>
        <v>28.728695045820707</v>
      </c>
      <c r="M123" s="73">
        <f t="shared" si="57"/>
        <v>0.54813511470971821</v>
      </c>
      <c r="N123" s="73">
        <f t="shared" si="58"/>
        <v>0.87690555083590838</v>
      </c>
      <c r="O123" s="74">
        <f t="shared" si="59"/>
        <v>12.309444916409163</v>
      </c>
      <c r="P123" s="75">
        <f t="shared" si="60"/>
        <v>1.1403736685744001</v>
      </c>
      <c r="Q123" s="37">
        <f t="shared" si="61"/>
        <v>5.7018683428720011E-2</v>
      </c>
      <c r="R123" s="43">
        <f t="shared" si="62"/>
        <v>58.114037366857438</v>
      </c>
      <c r="S123" s="76">
        <f t="shared" si="63"/>
        <v>0.48066272469702925</v>
      </c>
      <c r="T123">
        <v>264</v>
      </c>
      <c r="U123" s="44">
        <f t="shared" si="64"/>
        <v>549.24167495285633</v>
      </c>
      <c r="V123">
        <v>41.5</v>
      </c>
      <c r="W123" s="77">
        <f t="shared" si="65"/>
        <v>204.58448524944433</v>
      </c>
      <c r="X123">
        <f t="shared" si="66"/>
        <v>1.44</v>
      </c>
      <c r="Y123" s="47">
        <f t="shared" si="67"/>
        <v>17.069124123813065</v>
      </c>
      <c r="Z123">
        <v>58</v>
      </c>
    </row>
    <row r="124" spans="1:26" ht="15" customHeight="1" thickBot="1">
      <c r="A124">
        <v>58.5</v>
      </c>
      <c r="B124" t="s">
        <v>167</v>
      </c>
      <c r="C124">
        <v>0.05</v>
      </c>
      <c r="D124">
        <v>100</v>
      </c>
      <c r="E124" s="37">
        <f t="shared" si="51"/>
        <v>58.571428571428569</v>
      </c>
      <c r="F124">
        <v>30</v>
      </c>
      <c r="G124" s="71">
        <f t="shared" si="52"/>
        <v>1.4285714285714286</v>
      </c>
      <c r="H124" s="39">
        <f t="shared" si="53"/>
        <v>100</v>
      </c>
      <c r="I124">
        <v>100</v>
      </c>
      <c r="J124" s="71">
        <f t="shared" si="54"/>
        <v>7.1428571428571438E-2</v>
      </c>
      <c r="K124" s="71">
        <f t="shared" si="55"/>
        <v>58.642857142857146</v>
      </c>
      <c r="L124" s="72">
        <f t="shared" si="56"/>
        <v>28.5221305876352</v>
      </c>
      <c r="M124" s="73">
        <f t="shared" si="57"/>
        <v>0.54345591251097669</v>
      </c>
      <c r="N124" s="73">
        <f t="shared" si="58"/>
        <v>0.87863274782181722</v>
      </c>
      <c r="O124" s="74">
        <f t="shared" si="59"/>
        <v>12.136725217818281</v>
      </c>
      <c r="P124" s="75">
        <f t="shared" si="60"/>
        <v>1.1381319470268545</v>
      </c>
      <c r="Q124" s="37">
        <f t="shared" si="61"/>
        <v>5.6906597351342729E-2</v>
      </c>
      <c r="R124" s="43">
        <f t="shared" si="62"/>
        <v>58.613813194702686</v>
      </c>
      <c r="S124" s="76">
        <f t="shared" si="63"/>
        <v>0.47749816172953263</v>
      </c>
      <c r="T124">
        <v>265</v>
      </c>
      <c r="U124" s="44">
        <f t="shared" si="64"/>
        <v>554.97595852547568</v>
      </c>
      <c r="V124">
        <v>41.5</v>
      </c>
      <c r="W124" s="77">
        <f t="shared" si="65"/>
        <v>205.474736747067</v>
      </c>
      <c r="X124">
        <f t="shared" si="66"/>
        <v>1.44</v>
      </c>
      <c r="Y124" s="47">
        <f t="shared" si="67"/>
        <v>17.148474762407716</v>
      </c>
      <c r="Z124">
        <v>58.5</v>
      </c>
    </row>
    <row r="125" spans="1:26" ht="15" customHeight="1" thickBot="1">
      <c r="A125">
        <v>59</v>
      </c>
      <c r="B125" t="s">
        <v>167</v>
      </c>
      <c r="C125">
        <v>0.05</v>
      </c>
      <c r="D125">
        <v>100</v>
      </c>
      <c r="E125" s="37">
        <f t="shared" si="51"/>
        <v>59.071428571428569</v>
      </c>
      <c r="F125">
        <v>30</v>
      </c>
      <c r="G125" s="71">
        <f t="shared" si="52"/>
        <v>1.4285714285714286</v>
      </c>
      <c r="H125" s="39">
        <f t="shared" si="53"/>
        <v>100</v>
      </c>
      <c r="I125">
        <v>100</v>
      </c>
      <c r="J125" s="71">
        <f t="shared" si="54"/>
        <v>7.1428571428571438E-2</v>
      </c>
      <c r="K125" s="71">
        <f t="shared" si="55"/>
        <v>59.142857142857146</v>
      </c>
      <c r="L125" s="72">
        <f t="shared" si="56"/>
        <v>28.318270885889923</v>
      </c>
      <c r="M125" s="73">
        <f t="shared" si="57"/>
        <v>0.53885592292503126</v>
      </c>
      <c r="N125" s="73">
        <f t="shared" si="58"/>
        <v>0.88032613212194655</v>
      </c>
      <c r="O125" s="74">
        <f t="shared" si="59"/>
        <v>11.967386787805339</v>
      </c>
      <c r="P125" s="75">
        <f t="shared" si="60"/>
        <v>1.1359426506964985</v>
      </c>
      <c r="Q125" s="37">
        <f t="shared" si="61"/>
        <v>5.6797132534824928E-2</v>
      </c>
      <c r="R125" s="43">
        <f t="shared" si="62"/>
        <v>59.113594265069651</v>
      </c>
      <c r="S125" s="76">
        <f t="shared" si="63"/>
        <v>0.47436895039959459</v>
      </c>
      <c r="T125">
        <v>266</v>
      </c>
      <c r="U125" s="44">
        <f t="shared" si="64"/>
        <v>560.74496396935206</v>
      </c>
      <c r="V125">
        <v>41.5</v>
      </c>
      <c r="W125" s="77">
        <f t="shared" si="65"/>
        <v>206.36650343693901</v>
      </c>
      <c r="X125">
        <f t="shared" si="66"/>
        <v>1.44</v>
      </c>
      <c r="Y125" s="47">
        <f t="shared" si="67"/>
        <v>17.228396038951576</v>
      </c>
      <c r="Z125">
        <v>59</v>
      </c>
    </row>
    <row r="126" spans="1:26" ht="15" customHeight="1" thickBot="1">
      <c r="A126">
        <v>59.5</v>
      </c>
      <c r="B126" t="s">
        <v>167</v>
      </c>
      <c r="C126">
        <v>0.05</v>
      </c>
      <c r="D126">
        <v>100</v>
      </c>
      <c r="E126" s="37">
        <f t="shared" si="51"/>
        <v>59.571428571428569</v>
      </c>
      <c r="F126">
        <v>30</v>
      </c>
      <c r="G126" s="71">
        <f t="shared" si="52"/>
        <v>1.4285714285714286</v>
      </c>
      <c r="H126" s="39">
        <f t="shared" si="53"/>
        <v>100</v>
      </c>
      <c r="I126">
        <v>100</v>
      </c>
      <c r="J126" s="71">
        <f t="shared" si="54"/>
        <v>7.1428571428571438E-2</v>
      </c>
      <c r="K126" s="71">
        <f t="shared" si="55"/>
        <v>59.642857142857146</v>
      </c>
      <c r="L126" s="72">
        <f t="shared" si="56"/>
        <v>28.117068223540972</v>
      </c>
      <c r="M126" s="73">
        <f t="shared" si="57"/>
        <v>0.53433315138968929</v>
      </c>
      <c r="N126" s="73">
        <f t="shared" si="58"/>
        <v>0.88198651793950267</v>
      </c>
      <c r="O126" s="74">
        <f t="shared" si="59"/>
        <v>11.801348206049738</v>
      </c>
      <c r="P126" s="75">
        <f t="shared" si="60"/>
        <v>1.1338041791570699</v>
      </c>
      <c r="Q126" s="37">
        <f t="shared" si="61"/>
        <v>5.6690208957853497E-2</v>
      </c>
      <c r="R126" s="43">
        <f t="shared" si="62"/>
        <v>59.613380417915707</v>
      </c>
      <c r="S126" s="76">
        <f t="shared" si="63"/>
        <v>0.4712746356138332</v>
      </c>
      <c r="T126">
        <v>267</v>
      </c>
      <c r="U126" s="44">
        <f t="shared" si="64"/>
        <v>566.54863178077392</v>
      </c>
      <c r="V126">
        <v>41.5</v>
      </c>
      <c r="W126" s="77">
        <f t="shared" si="65"/>
        <v>207.25975662243536</v>
      </c>
      <c r="X126">
        <f t="shared" si="66"/>
        <v>1.44</v>
      </c>
      <c r="Y126" s="47">
        <f t="shared" si="67"/>
        <v>17.308873572567617</v>
      </c>
      <c r="Z126">
        <v>59.5</v>
      </c>
    </row>
    <row r="127" spans="1:26" ht="15" customHeight="1" thickBot="1">
      <c r="A127">
        <v>60</v>
      </c>
      <c r="B127" t="s">
        <v>167</v>
      </c>
      <c r="C127">
        <v>0.05</v>
      </c>
      <c r="D127">
        <v>100</v>
      </c>
      <c r="E127" s="37">
        <f t="shared" si="51"/>
        <v>60.071428571428569</v>
      </c>
      <c r="F127">
        <v>30</v>
      </c>
      <c r="G127" s="71">
        <f t="shared" si="52"/>
        <v>1.4285714285714286</v>
      </c>
      <c r="H127" s="39">
        <f t="shared" si="53"/>
        <v>100</v>
      </c>
      <c r="I127">
        <v>100</v>
      </c>
      <c r="J127" s="71">
        <f t="shared" si="54"/>
        <v>7.1428571428571438E-2</v>
      </c>
      <c r="K127" s="71">
        <f t="shared" si="55"/>
        <v>60.142857142857146</v>
      </c>
      <c r="L127" s="72">
        <f t="shared" si="56"/>
        <v>27.918475857132684</v>
      </c>
      <c r="M127" s="73">
        <f t="shared" si="57"/>
        <v>0.52988566974910922</v>
      </c>
      <c r="N127" s="73">
        <f t="shared" si="58"/>
        <v>0.88361469726272013</v>
      </c>
      <c r="O127" s="74">
        <f t="shared" si="59"/>
        <v>11.63853027372798</v>
      </c>
      <c r="P127" s="75">
        <f t="shared" si="60"/>
        <v>1.1317149919504741</v>
      </c>
      <c r="Q127" s="37">
        <f t="shared" si="61"/>
        <v>5.6585749597523709E-2</v>
      </c>
      <c r="R127" s="43">
        <f t="shared" si="62"/>
        <v>60.113171499195047</v>
      </c>
      <c r="S127" s="76">
        <f t="shared" si="63"/>
        <v>0.46821476565921277</v>
      </c>
      <c r="T127">
        <v>268</v>
      </c>
      <c r="U127" s="44">
        <f t="shared" si="64"/>
        <v>572.38690373780764</v>
      </c>
      <c r="V127">
        <v>41.5</v>
      </c>
      <c r="W127" s="77">
        <f t="shared" si="65"/>
        <v>208.1544682632634</v>
      </c>
      <c r="X127">
        <f t="shared" si="66"/>
        <v>1.44</v>
      </c>
      <c r="Y127" s="47">
        <f t="shared" si="67"/>
        <v>17.389893461738527</v>
      </c>
      <c r="Z127">
        <v>60</v>
      </c>
    </row>
    <row r="128" spans="1:26" ht="15" customHeight="1" thickBot="1">
      <c r="A128">
        <v>60.5</v>
      </c>
      <c r="B128" t="s">
        <v>167</v>
      </c>
      <c r="C128">
        <v>0.05</v>
      </c>
      <c r="D128">
        <v>100</v>
      </c>
      <c r="E128" s="37">
        <f t="shared" si="51"/>
        <v>60.571428571428569</v>
      </c>
      <c r="F128">
        <v>30</v>
      </c>
      <c r="G128" s="71">
        <f t="shared" si="52"/>
        <v>1.4285714285714286</v>
      </c>
      <c r="H128" s="39">
        <f t="shared" si="53"/>
        <v>100</v>
      </c>
      <c r="I128">
        <v>100</v>
      </c>
      <c r="J128" s="71">
        <f t="shared" si="54"/>
        <v>7.1428571428571438E-2</v>
      </c>
      <c r="K128" s="71">
        <f t="shared" si="55"/>
        <v>60.642857142857146</v>
      </c>
      <c r="L128" s="72">
        <f t="shared" si="56"/>
        <v>27.722447997281808</v>
      </c>
      <c r="M128" s="73">
        <f t="shared" si="57"/>
        <v>0.52551161351297271</v>
      </c>
      <c r="N128" s="73">
        <f t="shared" si="58"/>
        <v>0.88521144049915468</v>
      </c>
      <c r="O128" s="74">
        <f t="shared" si="59"/>
        <v>11.478855950084537</v>
      </c>
      <c r="P128" s="75">
        <f t="shared" si="60"/>
        <v>1.129673605930938</v>
      </c>
      <c r="Q128" s="37">
        <f t="shared" si="61"/>
        <v>5.6483680296546906E-2</v>
      </c>
      <c r="R128" s="43">
        <f t="shared" si="62"/>
        <v>60.612967360593096</v>
      </c>
      <c r="S128" s="76">
        <f t="shared" si="63"/>
        <v>0.46518889239685363</v>
      </c>
      <c r="T128">
        <v>269</v>
      </c>
      <c r="U128" s="44">
        <f t="shared" si="64"/>
        <v>578.25972287084517</v>
      </c>
      <c r="V128">
        <v>41.5</v>
      </c>
      <c r="W128" s="77">
        <f t="shared" si="65"/>
        <v>209.05061095893163</v>
      </c>
      <c r="X128">
        <f t="shared" si="66"/>
        <v>1.44</v>
      </c>
      <c r="Y128" s="47">
        <f t="shared" si="67"/>
        <v>17.4714422644915</v>
      </c>
      <c r="Z128">
        <v>60.5</v>
      </c>
    </row>
    <row r="129" spans="1:26" ht="15" customHeight="1" thickBot="1">
      <c r="A129">
        <v>61</v>
      </c>
      <c r="B129" t="s">
        <v>167</v>
      </c>
      <c r="C129">
        <v>0.05</v>
      </c>
      <c r="D129">
        <v>100</v>
      </c>
      <c r="E129" s="37">
        <f t="shared" si="51"/>
        <v>61.071428571428569</v>
      </c>
      <c r="F129">
        <v>30</v>
      </c>
      <c r="G129" s="71">
        <f t="shared" si="52"/>
        <v>1.4285714285714286</v>
      </c>
      <c r="H129" s="39">
        <f t="shared" si="53"/>
        <v>100</v>
      </c>
      <c r="I129">
        <v>100</v>
      </c>
      <c r="J129" s="71">
        <f t="shared" si="54"/>
        <v>7.1428571428571438E-2</v>
      </c>
      <c r="K129" s="71">
        <f t="shared" si="55"/>
        <v>61.142857142857146</v>
      </c>
      <c r="L129" s="72">
        <f t="shared" si="56"/>
        <v>27.528939789382811</v>
      </c>
      <c r="M129" s="73">
        <f t="shared" si="57"/>
        <v>0.52120917925029342</v>
      </c>
      <c r="N129" s="73">
        <f t="shared" si="58"/>
        <v>0.88677749709340803</v>
      </c>
      <c r="O129" s="74">
        <f t="shared" si="59"/>
        <v>11.322250290659198</v>
      </c>
      <c r="P129" s="75">
        <f t="shared" si="60"/>
        <v>1.1276785927447432</v>
      </c>
      <c r="Q129" s="37">
        <f t="shared" si="61"/>
        <v>5.6383929637237165E-2</v>
      </c>
      <c r="R129" s="43">
        <f t="shared" si="62"/>
        <v>61.112767859274477</v>
      </c>
      <c r="S129" s="76">
        <f t="shared" si="63"/>
        <v>0.46219657143768467</v>
      </c>
      <c r="T129">
        <v>270</v>
      </c>
      <c r="U129" s="44">
        <f t="shared" si="64"/>
        <v>584.16703343374445</v>
      </c>
      <c r="V129">
        <v>41.5</v>
      </c>
      <c r="W129" s="77">
        <f t="shared" si="65"/>
        <v>209.94815793262734</v>
      </c>
      <c r="X129">
        <f t="shared" si="66"/>
        <v>1.44</v>
      </c>
      <c r="Y129" s="47">
        <f t="shared" si="67"/>
        <v>17.553506979557991</v>
      </c>
      <c r="Z129">
        <v>61</v>
      </c>
    </row>
    <row r="130" spans="1:26" ht="15" customHeight="1" thickBot="1">
      <c r="A130">
        <v>61.5</v>
      </c>
      <c r="B130" t="s">
        <v>167</v>
      </c>
      <c r="C130">
        <v>0.05</v>
      </c>
      <c r="D130">
        <v>100</v>
      </c>
      <c r="E130" s="37">
        <f t="shared" si="51"/>
        <v>61.571428571428569</v>
      </c>
      <c r="F130">
        <v>30</v>
      </c>
      <c r="G130" s="71">
        <f t="shared" si="52"/>
        <v>1.4285714285714286</v>
      </c>
      <c r="H130" s="39">
        <f t="shared" si="53"/>
        <v>99.999999999999986</v>
      </c>
      <c r="I130">
        <v>100</v>
      </c>
      <c r="J130" s="71">
        <f t="shared" si="54"/>
        <v>7.1428571428571438E-2</v>
      </c>
      <c r="K130" s="71">
        <f t="shared" si="55"/>
        <v>61.642857142857146</v>
      </c>
      <c r="L130" s="72">
        <f t="shared" si="56"/>
        <v>27.337907294548138</v>
      </c>
      <c r="M130" s="73">
        <f t="shared" si="57"/>
        <v>0.51697662211020978</v>
      </c>
      <c r="N130" s="73">
        <f t="shared" si="58"/>
        <v>0.88831359612849736</v>
      </c>
      <c r="O130" s="74">
        <f t="shared" si="59"/>
        <v>11.168640387150262</v>
      </c>
      <c r="P130" s="75">
        <f t="shared" si="60"/>
        <v>1.1257285764377143</v>
      </c>
      <c r="Q130" s="37">
        <f t="shared" si="61"/>
        <v>5.6286428821885719E-2</v>
      </c>
      <c r="R130" s="43">
        <f t="shared" si="62"/>
        <v>61.612572857643769</v>
      </c>
      <c r="S130" s="76">
        <f t="shared" si="63"/>
        <v>0.4592373623010837</v>
      </c>
      <c r="T130">
        <v>271</v>
      </c>
      <c r="U130" s="44">
        <f t="shared" si="64"/>
        <v>590.10878087555921</v>
      </c>
      <c r="V130">
        <v>41.5</v>
      </c>
      <c r="W130" s="77">
        <f t="shared" si="65"/>
        <v>210.84708301549557</v>
      </c>
      <c r="X130">
        <f t="shared" si="66"/>
        <v>1.44</v>
      </c>
      <c r="Y130" s="47">
        <f t="shared" si="67"/>
        <v>17.63607502845338</v>
      </c>
      <c r="Z130">
        <v>61.5</v>
      </c>
    </row>
    <row r="131" spans="1:26" ht="15" customHeight="1" thickBot="1">
      <c r="A131">
        <v>62</v>
      </c>
      <c r="B131" t="s">
        <v>167</v>
      </c>
      <c r="C131">
        <v>0.05</v>
      </c>
      <c r="D131">
        <v>100</v>
      </c>
      <c r="E131" s="37">
        <f t="shared" si="51"/>
        <v>62.071428571428569</v>
      </c>
      <c r="F131">
        <v>30</v>
      </c>
      <c r="G131" s="71">
        <f t="shared" si="52"/>
        <v>1.4285714285714286</v>
      </c>
      <c r="H131" s="39">
        <f t="shared" si="53"/>
        <v>99.999999999999986</v>
      </c>
      <c r="I131">
        <v>100</v>
      </c>
      <c r="J131" s="71">
        <f t="shared" si="54"/>
        <v>7.1428571428571438E-2</v>
      </c>
      <c r="K131" s="71">
        <f t="shared" si="55"/>
        <v>62.142857142857146</v>
      </c>
      <c r="L131" s="72">
        <f t="shared" si="56"/>
        <v>27.149307470795325</v>
      </c>
      <c r="M131" s="73">
        <f t="shared" si="57"/>
        <v>0.51281225346260162</v>
      </c>
      <c r="N131" s="73">
        <f t="shared" si="58"/>
        <v>0.88982044691111095</v>
      </c>
      <c r="O131" s="74">
        <f t="shared" si="59"/>
        <v>11.017955308888901</v>
      </c>
      <c r="P131" s="75">
        <f t="shared" si="60"/>
        <v>1.1238222311831136</v>
      </c>
      <c r="Q131" s="37">
        <f t="shared" si="61"/>
        <v>5.6191111559155682E-2</v>
      </c>
      <c r="R131" s="43">
        <f t="shared" si="62"/>
        <v>62.11238222311831</v>
      </c>
      <c r="S131" s="76">
        <f t="shared" si="63"/>
        <v>0.45631082855758609</v>
      </c>
      <c r="T131">
        <v>272</v>
      </c>
      <c r="U131" s="44">
        <f t="shared" si="64"/>
        <v>596.08491181285615</v>
      </c>
      <c r="V131">
        <v>41.5</v>
      </c>
      <c r="W131" s="77">
        <f t="shared" si="65"/>
        <v>211.74736063131266</v>
      </c>
      <c r="X131">
        <f t="shared" si="66"/>
        <v>1.44</v>
      </c>
      <c r="Y131" s="47">
        <f t="shared" si="67"/>
        <v>17.719134238424203</v>
      </c>
      <c r="Z131">
        <v>62</v>
      </c>
    </row>
    <row r="132" spans="1:26" ht="15" customHeight="1" thickBot="1">
      <c r="A132">
        <v>62.5</v>
      </c>
      <c r="B132" t="s">
        <v>167</v>
      </c>
      <c r="C132">
        <v>0.05</v>
      </c>
      <c r="D132">
        <v>100</v>
      </c>
      <c r="E132" s="37">
        <f t="shared" si="51"/>
        <v>62.571428571428569</v>
      </c>
      <c r="F132">
        <v>30</v>
      </c>
      <c r="G132" s="71">
        <f t="shared" si="52"/>
        <v>1.4285714285714286</v>
      </c>
      <c r="H132" s="39">
        <f t="shared" si="53"/>
        <v>100.00000000000001</v>
      </c>
      <c r="I132">
        <v>100</v>
      </c>
      <c r="J132" s="71">
        <f t="shared" si="54"/>
        <v>7.1428571428571438E-2</v>
      </c>
      <c r="K132" s="71">
        <f t="shared" si="55"/>
        <v>62.642857142857146</v>
      </c>
      <c r="L132" s="72">
        <f t="shared" si="56"/>
        <v>26.963098154491401</v>
      </c>
      <c r="M132" s="73">
        <f t="shared" si="57"/>
        <v>0.50871443865182753</v>
      </c>
      <c r="N132" s="73">
        <f t="shared" si="58"/>
        <v>0.89129873954100092</v>
      </c>
      <c r="O132" s="74">
        <f t="shared" si="59"/>
        <v>10.870126045899909</v>
      </c>
      <c r="P132" s="75">
        <f t="shared" si="60"/>
        <v>1.1219582791230893</v>
      </c>
      <c r="Q132" s="37">
        <f t="shared" si="61"/>
        <v>5.6097913956154467E-2</v>
      </c>
      <c r="R132" s="43">
        <f t="shared" si="62"/>
        <v>62.612195827912309</v>
      </c>
      <c r="S132" s="76">
        <f t="shared" si="63"/>
        <v>0.45341653795668174</v>
      </c>
      <c r="T132">
        <v>273</v>
      </c>
      <c r="U132" s="44">
        <f t="shared" si="64"/>
        <v>602.09537400261684</v>
      </c>
      <c r="V132">
        <v>41.5</v>
      </c>
      <c r="W132" s="77">
        <f t="shared" si="65"/>
        <v>212.64896578154622</v>
      </c>
      <c r="X132">
        <f t="shared" si="66"/>
        <v>1.44</v>
      </c>
      <c r="Y132" s="47">
        <f t="shared" si="67"/>
        <v>17.802672826214508</v>
      </c>
      <c r="Z132">
        <v>62.5</v>
      </c>
    </row>
    <row r="133" spans="1:26" ht="15" customHeight="1" thickBot="1">
      <c r="A133">
        <v>63</v>
      </c>
      <c r="B133" t="s">
        <v>167</v>
      </c>
      <c r="C133">
        <v>0.05</v>
      </c>
      <c r="D133">
        <v>100</v>
      </c>
      <c r="E133" s="37">
        <f t="shared" si="51"/>
        <v>63.071428571428569</v>
      </c>
      <c r="F133">
        <v>30</v>
      </c>
      <c r="G133" s="71">
        <f t="shared" si="52"/>
        <v>1.4285714285714286</v>
      </c>
      <c r="H133" s="39">
        <f t="shared" si="53"/>
        <v>100</v>
      </c>
      <c r="I133">
        <v>100</v>
      </c>
      <c r="J133" s="71">
        <f t="shared" si="54"/>
        <v>7.1428571428571438E-2</v>
      </c>
      <c r="K133" s="71">
        <f t="shared" si="55"/>
        <v>63.142857142857146</v>
      </c>
      <c r="L133" s="72">
        <f t="shared" si="56"/>
        <v>26.779238042063568</v>
      </c>
      <c r="M133" s="73">
        <f t="shared" si="57"/>
        <v>0.50468159485730557</v>
      </c>
      <c r="N133" s="73">
        <f t="shared" si="58"/>
        <v>0.89274914546478468</v>
      </c>
      <c r="O133" s="74">
        <f t="shared" si="59"/>
        <v>10.72508545352153</v>
      </c>
      <c r="P133" s="75">
        <f t="shared" si="60"/>
        <v>1.1201354883172452</v>
      </c>
      <c r="Q133" s="37">
        <f t="shared" si="61"/>
        <v>5.6006774415862264E-2</v>
      </c>
      <c r="R133" s="43">
        <f t="shared" si="62"/>
        <v>63.112013548831726</v>
      </c>
      <c r="S133" s="76">
        <f t="shared" si="63"/>
        <v>0.45055406254066427</v>
      </c>
      <c r="T133">
        <v>274</v>
      </c>
      <c r="U133" s="44">
        <f t="shared" si="64"/>
        <v>608.14011631572055</v>
      </c>
      <c r="V133">
        <v>41.5</v>
      </c>
      <c r="W133" s="77">
        <f t="shared" si="65"/>
        <v>213.55187403079475</v>
      </c>
      <c r="X133">
        <f t="shared" si="66"/>
        <v>1.44</v>
      </c>
      <c r="Y133" s="47">
        <f t="shared" si="67"/>
        <v>17.886679382605706</v>
      </c>
      <c r="Z133">
        <v>63</v>
      </c>
    </row>
    <row r="134" spans="1:26" ht="15" customHeight="1" thickBot="1">
      <c r="A134">
        <v>63.5</v>
      </c>
      <c r="B134" t="s">
        <v>167</v>
      </c>
      <c r="C134">
        <v>0.05</v>
      </c>
      <c r="D134">
        <v>100</v>
      </c>
      <c r="E134" s="37">
        <f t="shared" si="51"/>
        <v>63.571428571428569</v>
      </c>
      <c r="F134">
        <v>30</v>
      </c>
      <c r="G134" s="71">
        <f t="shared" si="52"/>
        <v>1.4285714285714286</v>
      </c>
      <c r="H134" s="39">
        <f t="shared" si="53"/>
        <v>100</v>
      </c>
      <c r="I134">
        <v>100</v>
      </c>
      <c r="J134" s="71">
        <f t="shared" si="54"/>
        <v>7.1428571428571438E-2</v>
      </c>
      <c r="K134" s="71">
        <f t="shared" si="55"/>
        <v>63.642857142857146</v>
      </c>
      <c r="L134" s="72">
        <f t="shared" si="56"/>
        <v>26.597686671983812</v>
      </c>
      <c r="M134" s="73">
        <f t="shared" si="57"/>
        <v>0.50071218905505721</v>
      </c>
      <c r="N134" s="73">
        <f t="shared" si="58"/>
        <v>0.89417231801443509</v>
      </c>
      <c r="O134" s="74">
        <f t="shared" si="59"/>
        <v>10.582768198556494</v>
      </c>
      <c r="P134" s="75">
        <f t="shared" si="60"/>
        <v>1.1183526707923164</v>
      </c>
      <c r="Q134" s="37">
        <f t="shared" si="61"/>
        <v>5.5917633539615819E-2</v>
      </c>
      <c r="R134" s="43">
        <f t="shared" si="62"/>
        <v>63.611835267079229</v>
      </c>
      <c r="S134" s="76">
        <f t="shared" si="63"/>
        <v>0.44772297874544253</v>
      </c>
      <c r="T134">
        <v>275</v>
      </c>
      <c r="U134" s="44">
        <f t="shared" si="64"/>
        <v>614.2190887109997</v>
      </c>
      <c r="V134">
        <v>41.5</v>
      </c>
      <c r="W134" s="77">
        <f t="shared" si="65"/>
        <v>214.4560614925982</v>
      </c>
      <c r="X134">
        <f t="shared" si="66"/>
        <v>1.44</v>
      </c>
      <c r="Y134" s="47">
        <f t="shared" si="67"/>
        <v>17.971142857687258</v>
      </c>
      <c r="Z134">
        <v>63.5</v>
      </c>
    </row>
    <row r="135" spans="1:26" ht="15" customHeight="1" thickBot="1">
      <c r="A135">
        <v>64</v>
      </c>
      <c r="B135" t="s">
        <v>167</v>
      </c>
      <c r="C135">
        <v>0.05</v>
      </c>
      <c r="D135">
        <v>100</v>
      </c>
      <c r="E135" s="37">
        <f t="shared" si="51"/>
        <v>64.071428571428569</v>
      </c>
      <c r="F135">
        <v>30</v>
      </c>
      <c r="G135" s="71">
        <f t="shared" si="52"/>
        <v>1.4285714285714286</v>
      </c>
      <c r="H135" s="39">
        <f t="shared" si="53"/>
        <v>100</v>
      </c>
      <c r="I135">
        <v>100</v>
      </c>
      <c r="J135" s="71">
        <f t="shared" si="54"/>
        <v>7.1428571428571438E-2</v>
      </c>
      <c r="K135" s="71">
        <f t="shared" si="55"/>
        <v>64.142857142857139</v>
      </c>
      <c r="L135" s="72">
        <f t="shared" si="56"/>
        <v>26.418404407033812</v>
      </c>
      <c r="M135" s="73">
        <f t="shared" si="57"/>
        <v>0.49680473607469439</v>
      </c>
      <c r="N135" s="73">
        <f t="shared" si="58"/>
        <v>0.89556889293075337</v>
      </c>
      <c r="O135" s="74">
        <f t="shared" si="59"/>
        <v>10.443110706924656</v>
      </c>
      <c r="P135" s="75">
        <f t="shared" si="60"/>
        <v>1.1166086806873061</v>
      </c>
      <c r="Q135" s="37">
        <f t="shared" si="61"/>
        <v>5.5830434034365307E-2</v>
      </c>
      <c r="R135" s="43">
        <f t="shared" si="62"/>
        <v>64.111660868068725</v>
      </c>
      <c r="S135" s="76">
        <f t="shared" si="63"/>
        <v>0.44492286748916909</v>
      </c>
      <c r="T135">
        <v>276</v>
      </c>
      <c r="U135" s="44">
        <f t="shared" si="64"/>
        <v>620.33224220986745</v>
      </c>
      <c r="V135">
        <v>41.5</v>
      </c>
      <c r="W135" s="77">
        <f t="shared" si="65"/>
        <v>215.36150481561324</v>
      </c>
      <c r="X135">
        <f t="shared" si="66"/>
        <v>1.44</v>
      </c>
      <c r="Y135" s="47">
        <f t="shared" si="67"/>
        <v>18.056052546818194</v>
      </c>
      <c r="Z135">
        <v>64</v>
      </c>
    </row>
    <row r="136" spans="1:26" ht="15" customHeight="1" thickBot="1">
      <c r="A136">
        <v>64.5</v>
      </c>
      <c r="B136" t="s">
        <v>167</v>
      </c>
      <c r="C136">
        <v>0.05</v>
      </c>
      <c r="D136">
        <v>100</v>
      </c>
      <c r="E136" s="37">
        <f t="shared" si="51"/>
        <v>64.571428571428569</v>
      </c>
      <c r="F136">
        <v>30</v>
      </c>
      <c r="G136" s="71">
        <f t="shared" si="52"/>
        <v>1.4285714285714286</v>
      </c>
      <c r="H136" s="39">
        <f t="shared" si="53"/>
        <v>100</v>
      </c>
      <c r="I136">
        <v>100</v>
      </c>
      <c r="J136" s="71">
        <f t="shared" si="54"/>
        <v>7.1428571428571438E-2</v>
      </c>
      <c r="K136" s="71">
        <f t="shared" si="55"/>
        <v>64.642857142857139</v>
      </c>
      <c r="L136" s="72">
        <f t="shared" si="56"/>
        <v>26.241352416855563</v>
      </c>
      <c r="M136" s="73">
        <f t="shared" si="57"/>
        <v>0.49295779674668239</v>
      </c>
      <c r="N136" s="73">
        <f t="shared" si="58"/>
        <v>0.89693948887212305</v>
      </c>
      <c r="O136" s="74">
        <f t="shared" si="59"/>
        <v>10.306051112787699</v>
      </c>
      <c r="P136" s="75">
        <f t="shared" si="60"/>
        <v>1.1149024124887987</v>
      </c>
      <c r="Q136" s="37">
        <f t="shared" si="61"/>
        <v>5.5745120624439939E-2</v>
      </c>
      <c r="R136" s="43">
        <f t="shared" si="62"/>
        <v>64.611490241248873</v>
      </c>
      <c r="S136" s="76">
        <f t="shared" si="63"/>
        <v>0.44215331424949722</v>
      </c>
      <c r="T136">
        <v>277</v>
      </c>
      <c r="U136" s="44">
        <f t="shared" si="64"/>
        <v>626.47952887150609</v>
      </c>
      <c r="V136">
        <v>41.5</v>
      </c>
      <c r="W136" s="77">
        <f t="shared" si="65"/>
        <v>216.26818117014383</v>
      </c>
      <c r="X136">
        <f t="shared" si="66"/>
        <v>1.44</v>
      </c>
      <c r="Y136" s="47">
        <f t="shared" si="67"/>
        <v>18.141398077241981</v>
      </c>
      <c r="Z136">
        <v>64.5</v>
      </c>
    </row>
    <row r="137" spans="1:26" ht="15" customHeight="1" thickBot="1">
      <c r="A137">
        <v>65</v>
      </c>
      <c r="B137" t="s">
        <v>167</v>
      </c>
      <c r="C137">
        <v>0.05</v>
      </c>
      <c r="D137">
        <v>100</v>
      </c>
      <c r="E137" s="37">
        <f t="shared" ref="E137:E168" si="68">A137+J137</f>
        <v>65.071428571428569</v>
      </c>
      <c r="F137">
        <v>30</v>
      </c>
      <c r="G137" s="71">
        <f t="shared" ref="G137:G168" si="69">100/(100-F137)</f>
        <v>1.4285714285714286</v>
      </c>
      <c r="H137" s="39">
        <f t="shared" ref="H137:H168" si="70">3.1415926*E137*M137</f>
        <v>100</v>
      </c>
      <c r="I137">
        <v>100</v>
      </c>
      <c r="J137" s="71">
        <f t="shared" ref="J137:J168" si="71">G137*C137</f>
        <v>7.1428571428571438E-2</v>
      </c>
      <c r="K137" s="71">
        <f t="shared" ref="K137:K168" si="72">A137+2*J137</f>
        <v>65.142857142857139</v>
      </c>
      <c r="L137" s="72">
        <f t="shared" ref="L137:L168" si="73">ATAN(I137/(3.1415926*(A137+J137)))*180/3.1415926</f>
        <v>26.066492660791834</v>
      </c>
      <c r="M137" s="73">
        <f t="shared" ref="M137:M168" si="74">I137/(3.1415926*(A137+J137))</f>
        <v>0.48916997613501739</v>
      </c>
      <c r="N137" s="73">
        <f t="shared" ref="N137:N168" si="75">COS(L137*3.1415926/180)</f>
        <v>0.89828470790885362</v>
      </c>
      <c r="O137" s="74">
        <f t="shared" ref="O137:O168" si="76">(D137-I137*N137)/D137*100</f>
        <v>10.171529209114638</v>
      </c>
      <c r="P137" s="75">
        <f t="shared" ref="P137:P168" si="77">100/(100-O137)</f>
        <v>1.1132327993514803</v>
      </c>
      <c r="Q137" s="37">
        <f t="shared" ref="Q137:Q168" si="78">P137*C137</f>
        <v>5.566163996757402E-2</v>
      </c>
      <c r="R137" s="43">
        <f t="shared" ref="R137:R168" si="79">A137+2*Q137</f>
        <v>65.111323279935149</v>
      </c>
      <c r="S137" s="76">
        <f t="shared" ref="S137:S168" si="80">SIN(L137*3.1415926/180)</f>
        <v>0.43941390913022493</v>
      </c>
      <c r="T137">
        <v>278</v>
      </c>
      <c r="U137" s="44">
        <f t="shared" ref="U137:U168" si="81">T137/S137</f>
        <v>632.66090176861417</v>
      </c>
      <c r="V137">
        <v>41.5</v>
      </c>
      <c r="W137" s="77">
        <f t="shared" ref="W137:W168" si="82">2*SQRT((1000*U137*C137/3.1415926)+(V137*V137))</f>
        <v>217.17606823502092</v>
      </c>
      <c r="X137">
        <f t="shared" ref="X137:X168" si="83">1.44</f>
        <v>1.44</v>
      </c>
      <c r="Y137" s="47">
        <f t="shared" ref="Y137:Y168" si="84">3.14*(A137+Q137)*Q137*X137*P137</f>
        <v>18.227169395319386</v>
      </c>
      <c r="Z137">
        <v>65</v>
      </c>
    </row>
    <row r="138" spans="1:26" ht="15" customHeight="1" thickBot="1">
      <c r="A138">
        <v>65.5</v>
      </c>
      <c r="B138" t="s">
        <v>167</v>
      </c>
      <c r="C138">
        <v>0.05</v>
      </c>
      <c r="D138">
        <v>100</v>
      </c>
      <c r="E138" s="37">
        <f t="shared" si="68"/>
        <v>65.571428571428569</v>
      </c>
      <c r="F138">
        <v>30</v>
      </c>
      <c r="G138" s="71">
        <f t="shared" si="69"/>
        <v>1.4285714285714286</v>
      </c>
      <c r="H138" s="39">
        <f t="shared" si="70"/>
        <v>100</v>
      </c>
      <c r="I138">
        <v>100</v>
      </c>
      <c r="J138" s="71">
        <f t="shared" si="71"/>
        <v>7.1428571428571438E-2</v>
      </c>
      <c r="K138" s="71">
        <f t="shared" si="72"/>
        <v>65.642857142857139</v>
      </c>
      <c r="L138" s="72">
        <f t="shared" si="73"/>
        <v>25.893787871020077</v>
      </c>
      <c r="M138" s="73">
        <f t="shared" si="74"/>
        <v>0.48543992185076346</v>
      </c>
      <c r="N138" s="73">
        <f t="shared" si="75"/>
        <v>0.89960513600342484</v>
      </c>
      <c r="O138" s="74">
        <f t="shared" si="76"/>
        <v>10.03948639965752</v>
      </c>
      <c r="P138" s="75">
        <f t="shared" si="77"/>
        <v>1.1115988114992188</v>
      </c>
      <c r="Q138" s="37">
        <f t="shared" si="78"/>
        <v>5.5579940574960941E-2</v>
      </c>
      <c r="R138" s="43">
        <f t="shared" si="79"/>
        <v>65.611159881149916</v>
      </c>
      <c r="S138" s="76">
        <f t="shared" si="80"/>
        <v>0.43670424691804799</v>
      </c>
      <c r="T138">
        <v>279</v>
      </c>
      <c r="U138" s="44">
        <f t="shared" si="81"/>
        <v>638.87631496369943</v>
      </c>
      <c r="V138">
        <v>41.5</v>
      </c>
      <c r="W138" s="77">
        <f t="shared" si="82"/>
        <v>218.08514418482221</v>
      </c>
      <c r="X138">
        <f t="shared" si="83"/>
        <v>1.44</v>
      </c>
      <c r="Y138" s="47">
        <f t="shared" si="84"/>
        <v>18.313356754346557</v>
      </c>
      <c r="Z138">
        <v>65.5</v>
      </c>
    </row>
    <row r="139" spans="1:26" ht="15" customHeight="1" thickBot="1">
      <c r="A139">
        <v>66</v>
      </c>
      <c r="B139" t="s">
        <v>167</v>
      </c>
      <c r="C139">
        <v>0.05</v>
      </c>
      <c r="D139">
        <v>100</v>
      </c>
      <c r="E139" s="37">
        <f t="shared" si="68"/>
        <v>66.071428571428569</v>
      </c>
      <c r="F139">
        <v>30</v>
      </c>
      <c r="G139" s="71">
        <f t="shared" si="69"/>
        <v>1.4285714285714286</v>
      </c>
      <c r="H139" s="39">
        <f t="shared" si="70"/>
        <v>100</v>
      </c>
      <c r="I139">
        <v>100</v>
      </c>
      <c r="J139" s="71">
        <f t="shared" si="71"/>
        <v>7.1428571428571438E-2</v>
      </c>
      <c r="K139" s="71">
        <f t="shared" si="72"/>
        <v>66.142857142857139</v>
      </c>
      <c r="L139" s="72">
        <f t="shared" si="73"/>
        <v>25.723201535981925</v>
      </c>
      <c r="M139" s="73">
        <f t="shared" si="74"/>
        <v>0.48176632244216311</v>
      </c>
      <c r="N139" s="73">
        <f t="shared" si="75"/>
        <v>0.90090134347694872</v>
      </c>
      <c r="O139" s="74">
        <f t="shared" si="76"/>
        <v>9.9098656523051289</v>
      </c>
      <c r="P139" s="75">
        <f t="shared" si="77"/>
        <v>1.1099994547023193</v>
      </c>
      <c r="Q139" s="37">
        <f t="shared" si="78"/>
        <v>5.549997273511597E-2</v>
      </c>
      <c r="R139" s="43">
        <f t="shared" si="79"/>
        <v>66.110999945470226</v>
      </c>
      <c r="S139" s="76">
        <f t="shared" si="80"/>
        <v>0.43402392713009369</v>
      </c>
      <c r="T139">
        <v>280</v>
      </c>
      <c r="U139" s="44">
        <f t="shared" si="81"/>
        <v>645.12572348591561</v>
      </c>
      <c r="V139">
        <v>41.5</v>
      </c>
      <c r="W139" s="77">
        <f t="shared" si="82"/>
        <v>218.9953876774253</v>
      </c>
      <c r="X139">
        <f t="shared" si="83"/>
        <v>1.44</v>
      </c>
      <c r="Y139" s="47">
        <f t="shared" si="84"/>
        <v>18.399950702926876</v>
      </c>
      <c r="Z139">
        <v>66</v>
      </c>
    </row>
    <row r="140" spans="1:26" ht="15" customHeight="1" thickBot="1">
      <c r="A140">
        <v>66.5</v>
      </c>
      <c r="B140" t="s">
        <v>167</v>
      </c>
      <c r="C140">
        <v>0.05</v>
      </c>
      <c r="D140">
        <v>100</v>
      </c>
      <c r="E140" s="37">
        <f t="shared" si="68"/>
        <v>66.571428571428569</v>
      </c>
      <c r="F140">
        <v>30</v>
      </c>
      <c r="G140" s="71">
        <f t="shared" si="69"/>
        <v>1.4285714285714286</v>
      </c>
      <c r="H140" s="39">
        <f t="shared" si="70"/>
        <v>100</v>
      </c>
      <c r="I140">
        <v>100</v>
      </c>
      <c r="J140" s="71">
        <f t="shared" si="71"/>
        <v>7.1428571428571438E-2</v>
      </c>
      <c r="K140" s="71">
        <f t="shared" si="72"/>
        <v>66.642857142857139</v>
      </c>
      <c r="L140" s="72">
        <f t="shared" si="73"/>
        <v>25.55469788411029</v>
      </c>
      <c r="M140" s="73">
        <f t="shared" si="74"/>
        <v>0.47814790585729705</v>
      </c>
      <c r="N140" s="73">
        <f t="shared" si="75"/>
        <v>0.90217388546216482</v>
      </c>
      <c r="O140" s="74">
        <f t="shared" si="76"/>
        <v>9.7826114537835167</v>
      </c>
      <c r="P140" s="75">
        <f t="shared" si="77"/>
        <v>1.1084337688268608</v>
      </c>
      <c r="Q140" s="37">
        <f t="shared" si="78"/>
        <v>5.5421688441343042E-2</v>
      </c>
      <c r="R140" s="43">
        <f t="shared" si="79"/>
        <v>66.610843376882684</v>
      </c>
      <c r="S140" s="76">
        <f t="shared" si="80"/>
        <v>0.43137255405287517</v>
      </c>
      <c r="T140">
        <v>281</v>
      </c>
      <c r="U140" s="44">
        <f t="shared" si="81"/>
        <v>651.40908330843092</v>
      </c>
      <c r="V140">
        <v>41.5</v>
      </c>
      <c r="W140" s="77">
        <f t="shared" si="82"/>
        <v>219.906777841886</v>
      </c>
      <c r="X140">
        <f t="shared" si="83"/>
        <v>1.44</v>
      </c>
      <c r="Y140" s="47">
        <f t="shared" si="84"/>
        <v>18.486942073867841</v>
      </c>
      <c r="Z140">
        <v>66.5</v>
      </c>
    </row>
    <row r="141" spans="1:26" ht="15" customHeight="1" thickBot="1">
      <c r="A141">
        <v>67</v>
      </c>
      <c r="B141" t="s">
        <v>167</v>
      </c>
      <c r="C141">
        <v>0.05</v>
      </c>
      <c r="D141">
        <v>100</v>
      </c>
      <c r="E141" s="37">
        <f t="shared" si="68"/>
        <v>67.071428571428569</v>
      </c>
      <c r="F141">
        <v>30</v>
      </c>
      <c r="G141" s="71">
        <f t="shared" si="69"/>
        <v>1.4285714285714286</v>
      </c>
      <c r="H141" s="39">
        <f t="shared" si="70"/>
        <v>100</v>
      </c>
      <c r="I141">
        <v>100</v>
      </c>
      <c r="J141" s="71">
        <f t="shared" si="71"/>
        <v>7.1428571428571438E-2</v>
      </c>
      <c r="K141" s="71">
        <f t="shared" si="72"/>
        <v>67.142857142857139</v>
      </c>
      <c r="L141" s="72">
        <f t="shared" si="73"/>
        <v>25.388241867854941</v>
      </c>
      <c r="M141" s="73">
        <f t="shared" si="74"/>
        <v>0.47458343797550678</v>
      </c>
      <c r="N141" s="73">
        <f t="shared" si="75"/>
        <v>0.90342330234329049</v>
      </c>
      <c r="O141" s="74">
        <f t="shared" si="76"/>
        <v>9.6576697656709456</v>
      </c>
      <c r="P141" s="75">
        <f t="shared" si="77"/>
        <v>1.1069008264522397</v>
      </c>
      <c r="Q141" s="37">
        <f t="shared" si="78"/>
        <v>5.534504132261199E-2</v>
      </c>
      <c r="R141" s="43">
        <f t="shared" si="79"/>
        <v>67.11069008264522</v>
      </c>
      <c r="S141" s="76">
        <f t="shared" si="80"/>
        <v>0.4287497367732645</v>
      </c>
      <c r="T141">
        <v>282</v>
      </c>
      <c r="U141" s="44">
        <f t="shared" si="81"/>
        <v>657.72635132632138</v>
      </c>
      <c r="V141">
        <v>41.5</v>
      </c>
      <c r="W141" s="77">
        <f t="shared" si="82"/>
        <v>220.81929426663405</v>
      </c>
      <c r="X141">
        <f t="shared" si="83"/>
        <v>1.44</v>
      </c>
      <c r="Y141" s="47">
        <f t="shared" si="84"/>
        <v>18.574321973575188</v>
      </c>
      <c r="Z141">
        <v>67</v>
      </c>
    </row>
    <row r="142" spans="1:26" ht="15" customHeight="1" thickBot="1">
      <c r="A142">
        <v>67.5</v>
      </c>
      <c r="B142" t="s">
        <v>167</v>
      </c>
      <c r="C142">
        <v>0.05</v>
      </c>
      <c r="D142">
        <v>100</v>
      </c>
      <c r="E142" s="37">
        <f t="shared" si="68"/>
        <v>67.571428571428569</v>
      </c>
      <c r="F142">
        <v>30</v>
      </c>
      <c r="G142" s="71">
        <f t="shared" si="69"/>
        <v>1.4285714285714286</v>
      </c>
      <c r="H142" s="39">
        <f t="shared" si="70"/>
        <v>100</v>
      </c>
      <c r="I142">
        <v>100</v>
      </c>
      <c r="J142" s="71">
        <f t="shared" si="71"/>
        <v>7.1428571428571438E-2</v>
      </c>
      <c r="K142" s="71">
        <f t="shared" si="72"/>
        <v>67.642857142857139</v>
      </c>
      <c r="L142" s="72">
        <f t="shared" si="73"/>
        <v>25.22379914800684</v>
      </c>
      <c r="M142" s="73">
        <f t="shared" si="74"/>
        <v>0.4710717212040178</v>
      </c>
      <c r="N142" s="73">
        <f t="shared" si="75"/>
        <v>0.90465012018304325</v>
      </c>
      <c r="O142" s="74">
        <f t="shared" si="76"/>
        <v>9.5349879816956786</v>
      </c>
      <c r="P142" s="75">
        <f t="shared" si="77"/>
        <v>1.1053997315533037</v>
      </c>
      <c r="Q142" s="37">
        <f t="shared" si="78"/>
        <v>5.5269986577665187E-2</v>
      </c>
      <c r="R142" s="43">
        <f t="shared" si="79"/>
        <v>67.610539973155326</v>
      </c>
      <c r="S142" s="76">
        <f t="shared" si="80"/>
        <v>0.42615508920204781</v>
      </c>
      <c r="T142">
        <v>283</v>
      </c>
      <c r="U142" s="44">
        <f t="shared" si="81"/>
        <v>664.07748533498</v>
      </c>
      <c r="V142">
        <v>41.5</v>
      </c>
      <c r="W142" s="77">
        <f t="shared" si="82"/>
        <v>221.73291698797948</v>
      </c>
      <c r="X142">
        <f t="shared" si="83"/>
        <v>1.44</v>
      </c>
      <c r="Y142" s="47">
        <f t="shared" si="84"/>
        <v>18.662081771918619</v>
      </c>
      <c r="Z142">
        <v>67.5</v>
      </c>
    </row>
    <row r="143" spans="1:26" ht="15" customHeight="1" thickBot="1">
      <c r="A143">
        <v>68</v>
      </c>
      <c r="B143" t="s">
        <v>167</v>
      </c>
      <c r="C143">
        <v>0.05</v>
      </c>
      <c r="D143">
        <v>100</v>
      </c>
      <c r="E143" s="37">
        <f t="shared" si="68"/>
        <v>68.071428571428569</v>
      </c>
      <c r="F143">
        <v>30</v>
      </c>
      <c r="G143" s="71">
        <f t="shared" si="69"/>
        <v>1.4285714285714286</v>
      </c>
      <c r="H143" s="39">
        <f t="shared" si="70"/>
        <v>100</v>
      </c>
      <c r="I143">
        <v>100</v>
      </c>
      <c r="J143" s="71">
        <f t="shared" si="71"/>
        <v>7.1428571428571438E-2</v>
      </c>
      <c r="K143" s="71">
        <f t="shared" si="72"/>
        <v>68.142857142857139</v>
      </c>
      <c r="L143" s="72">
        <f t="shared" si="73"/>
        <v>25.061336078321141</v>
      </c>
      <c r="M143" s="73">
        <f t="shared" si="74"/>
        <v>0.46761159313641226</v>
      </c>
      <c r="N143" s="73">
        <f t="shared" si="75"/>
        <v>0.90585485113715591</v>
      </c>
      <c r="O143" s="74">
        <f t="shared" si="76"/>
        <v>9.4145148862844081</v>
      </c>
      <c r="P143" s="75">
        <f t="shared" si="77"/>
        <v>1.1039296182436511</v>
      </c>
      <c r="Q143" s="37">
        <f t="shared" si="78"/>
        <v>5.5196480912182558E-2</v>
      </c>
      <c r="R143" s="43">
        <f t="shared" si="79"/>
        <v>68.11039296182436</v>
      </c>
      <c r="S143" s="76">
        <f t="shared" si="80"/>
        <v>0.42358823009059299</v>
      </c>
      <c r="T143">
        <v>284</v>
      </c>
      <c r="U143" s="44">
        <f t="shared" si="81"/>
        <v>670.46244400903402</v>
      </c>
      <c r="V143">
        <v>41.5</v>
      </c>
      <c r="W143" s="77">
        <f t="shared" si="82"/>
        <v>222.64762647892127</v>
      </c>
      <c r="X143">
        <f t="shared" si="83"/>
        <v>1.44</v>
      </c>
      <c r="Y143" s="47">
        <f t="shared" si="84"/>
        <v>18.750213092544762</v>
      </c>
      <c r="Z143">
        <v>68</v>
      </c>
    </row>
    <row r="144" spans="1:26" ht="15" customHeight="1" thickBot="1">
      <c r="A144">
        <v>68.5</v>
      </c>
      <c r="B144" t="s">
        <v>167</v>
      </c>
      <c r="C144">
        <v>0.05</v>
      </c>
      <c r="D144">
        <v>100</v>
      </c>
      <c r="E144" s="37">
        <f t="shared" si="68"/>
        <v>68.571428571428569</v>
      </c>
      <c r="F144">
        <v>30</v>
      </c>
      <c r="G144" s="71">
        <f t="shared" si="69"/>
        <v>1.4285714285714286</v>
      </c>
      <c r="H144" s="39">
        <f t="shared" si="70"/>
        <v>100</v>
      </c>
      <c r="I144">
        <v>100</v>
      </c>
      <c r="J144" s="71">
        <f t="shared" si="71"/>
        <v>7.1428571428571438E-2</v>
      </c>
      <c r="K144" s="71">
        <f t="shared" si="72"/>
        <v>68.642857142857139</v>
      </c>
      <c r="L144" s="72">
        <f t="shared" si="73"/>
        <v>24.900819690437949</v>
      </c>
      <c r="M144" s="73">
        <f t="shared" si="74"/>
        <v>0.46420192526979259</v>
      </c>
      <c r="N144" s="73">
        <f t="shared" si="75"/>
        <v>0.90703799385669825</v>
      </c>
      <c r="O144" s="74">
        <f t="shared" si="76"/>
        <v>9.296200614330175</v>
      </c>
      <c r="P144" s="75">
        <f t="shared" si="77"/>
        <v>1.1024896495768939</v>
      </c>
      <c r="Q144" s="37">
        <f t="shared" si="78"/>
        <v>5.5124482478844695E-2</v>
      </c>
      <c r="R144" s="43">
        <f t="shared" si="79"/>
        <v>68.610248964957691</v>
      </c>
      <c r="S144" s="76">
        <f t="shared" si="80"/>
        <v>0.42104878304112958</v>
      </c>
      <c r="T144">
        <v>285</v>
      </c>
      <c r="U144" s="44">
        <f t="shared" si="81"/>
        <v>676.88118688175894</v>
      </c>
      <c r="V144">
        <v>41.5</v>
      </c>
      <c r="W144" s="77">
        <f t="shared" si="82"/>
        <v>223.56340363825146</v>
      </c>
      <c r="X144">
        <f t="shared" si="83"/>
        <v>1.44</v>
      </c>
      <c r="Y144" s="47">
        <f t="shared" si="84"/>
        <v>18.838707803614678</v>
      </c>
      <c r="Z144">
        <v>68.5</v>
      </c>
    </row>
    <row r="145" spans="1:26" ht="15" customHeight="1" thickBot="1">
      <c r="A145">
        <v>69</v>
      </c>
      <c r="B145" t="s">
        <v>167</v>
      </c>
      <c r="C145">
        <v>0.05</v>
      </c>
      <c r="D145">
        <v>100</v>
      </c>
      <c r="E145" s="37">
        <f t="shared" si="68"/>
        <v>69.071428571428569</v>
      </c>
      <c r="F145">
        <v>30</v>
      </c>
      <c r="G145" s="71">
        <f t="shared" si="69"/>
        <v>1.4285714285714286</v>
      </c>
      <c r="H145" s="39">
        <f t="shared" si="70"/>
        <v>100</v>
      </c>
      <c r="I145">
        <v>100</v>
      </c>
      <c r="J145" s="71">
        <f t="shared" si="71"/>
        <v>7.1428571428571438E-2</v>
      </c>
      <c r="K145" s="71">
        <f t="shared" si="72"/>
        <v>69.142857142857139</v>
      </c>
      <c r="L145" s="72">
        <f t="shared" si="73"/>
        <v>24.742217679099685</v>
      </c>
      <c r="M145" s="73">
        <f t="shared" si="74"/>
        <v>0.46084162177766375</v>
      </c>
      <c r="N145" s="73">
        <f t="shared" si="75"/>
        <v>0.90820003387852388</v>
      </c>
      <c r="O145" s="74">
        <f t="shared" si="76"/>
        <v>9.1799966121476189</v>
      </c>
      <c r="P145" s="75">
        <f t="shared" si="77"/>
        <v>1.1010790164028499</v>
      </c>
      <c r="Q145" s="37">
        <f t="shared" si="78"/>
        <v>5.50539508201425E-2</v>
      </c>
      <c r="R145" s="43">
        <f t="shared" si="79"/>
        <v>69.110107901640291</v>
      </c>
      <c r="S145" s="76">
        <f t="shared" si="80"/>
        <v>0.41853637651110809</v>
      </c>
      <c r="T145">
        <v>286</v>
      </c>
      <c r="U145" s="44">
        <f t="shared" si="81"/>
        <v>683.33367432498301</v>
      </c>
      <c r="V145">
        <v>41.5</v>
      </c>
      <c r="W145" s="77">
        <f t="shared" si="82"/>
        <v>224.48022977994711</v>
      </c>
      <c r="X145">
        <f t="shared" si="83"/>
        <v>1.44</v>
      </c>
      <c r="Y145" s="47">
        <f t="shared" si="84"/>
        <v>18.927558008944022</v>
      </c>
      <c r="Z145">
        <v>69</v>
      </c>
    </row>
    <row r="146" spans="1:26" ht="15" customHeight="1" thickBot="1">
      <c r="A146">
        <v>69.5</v>
      </c>
      <c r="B146" t="s">
        <v>167</v>
      </c>
      <c r="C146">
        <v>0.05</v>
      </c>
      <c r="D146">
        <v>100</v>
      </c>
      <c r="E146" s="37">
        <f t="shared" si="68"/>
        <v>69.571428571428569</v>
      </c>
      <c r="F146">
        <v>30</v>
      </c>
      <c r="G146" s="71">
        <f t="shared" si="69"/>
        <v>1.4285714285714286</v>
      </c>
      <c r="H146" s="39">
        <f t="shared" si="70"/>
        <v>100</v>
      </c>
      <c r="I146">
        <v>100</v>
      </c>
      <c r="J146" s="71">
        <f t="shared" si="71"/>
        <v>7.1428571428571438E-2</v>
      </c>
      <c r="K146" s="71">
        <f t="shared" si="72"/>
        <v>69.642857142857139</v>
      </c>
      <c r="L146" s="72">
        <f t="shared" si="73"/>
        <v>24.585498387663332</v>
      </c>
      <c r="M146" s="73">
        <f t="shared" si="74"/>
        <v>0.45752961833572986</v>
      </c>
      <c r="N146" s="73">
        <f t="shared" si="75"/>
        <v>0.9093414440041504</v>
      </c>
      <c r="O146" s="74">
        <f t="shared" si="76"/>
        <v>9.0658555995849639</v>
      </c>
      <c r="P146" s="75">
        <f t="shared" si="77"/>
        <v>1.0996969362758262</v>
      </c>
      <c r="Q146" s="37">
        <f t="shared" si="78"/>
        <v>5.4984846813791316E-2</v>
      </c>
      <c r="R146" s="43">
        <f t="shared" si="79"/>
        <v>69.609969693627576</v>
      </c>
      <c r="S146" s="76">
        <f t="shared" si="80"/>
        <v>0.41605064381208035</v>
      </c>
      <c r="T146">
        <v>287</v>
      </c>
      <c r="U146" s="44">
        <f t="shared" si="81"/>
        <v>689.81986752947012</v>
      </c>
      <c r="V146">
        <v>41.5</v>
      </c>
      <c r="W146" s="77">
        <f t="shared" si="82"/>
        <v>225.39808662284349</v>
      </c>
      <c r="X146">
        <f t="shared" si="83"/>
        <v>1.44</v>
      </c>
      <c r="Y146" s="47">
        <f t="shared" si="84"/>
        <v>19.01675603952598</v>
      </c>
      <c r="Z146">
        <v>69.5</v>
      </c>
    </row>
    <row r="147" spans="1:26" ht="15" customHeight="1" thickBot="1">
      <c r="A147">
        <v>70</v>
      </c>
      <c r="B147" t="s">
        <v>167</v>
      </c>
      <c r="C147">
        <v>0.05</v>
      </c>
      <c r="D147">
        <v>100</v>
      </c>
      <c r="E147" s="37">
        <f t="shared" si="68"/>
        <v>70.071428571428569</v>
      </c>
      <c r="F147">
        <v>30</v>
      </c>
      <c r="G147" s="71">
        <f t="shared" si="69"/>
        <v>1.4285714285714286</v>
      </c>
      <c r="H147" s="39">
        <f t="shared" si="70"/>
        <v>100</v>
      </c>
      <c r="I147">
        <v>100</v>
      </c>
      <c r="J147" s="71">
        <f t="shared" si="71"/>
        <v>7.1428571428571438E-2</v>
      </c>
      <c r="K147" s="71">
        <f t="shared" si="72"/>
        <v>70.142857142857139</v>
      </c>
      <c r="L147" s="72">
        <f t="shared" si="73"/>
        <v>24.43063079390544</v>
      </c>
      <c r="M147" s="73">
        <f t="shared" si="74"/>
        <v>0.45426488099796214</v>
      </c>
      <c r="N147" s="73">
        <f t="shared" si="75"/>
        <v>0.91046268466738345</v>
      </c>
      <c r="O147" s="74">
        <f t="shared" si="76"/>
        <v>8.95373153326166</v>
      </c>
      <c r="P147" s="75">
        <f t="shared" si="77"/>
        <v>1.0983426524123028</v>
      </c>
      <c r="Q147" s="37">
        <f t="shared" si="78"/>
        <v>5.4917132620615143E-2</v>
      </c>
      <c r="R147" s="43">
        <f t="shared" si="79"/>
        <v>70.109834265241233</v>
      </c>
      <c r="S147" s="76">
        <f t="shared" si="80"/>
        <v>0.41359122310351404</v>
      </c>
      <c r="T147">
        <v>288</v>
      </c>
      <c r="U147" s="44">
        <f t="shared" si="81"/>
        <v>696.33972848577366</v>
      </c>
      <c r="V147">
        <v>41.5</v>
      </c>
      <c r="W147" s="77">
        <f t="shared" si="82"/>
        <v>226.31695628058046</v>
      </c>
      <c r="X147">
        <f t="shared" si="83"/>
        <v>1.44</v>
      </c>
      <c r="Y147" s="47">
        <f t="shared" si="84"/>
        <v>19.106294445417454</v>
      </c>
      <c r="Z147">
        <v>70</v>
      </c>
    </row>
    <row r="148" spans="1:26" ht="15" customHeight="1" thickBot="1">
      <c r="A148">
        <v>70.5</v>
      </c>
      <c r="B148" t="s">
        <v>167</v>
      </c>
      <c r="C148">
        <v>0.05</v>
      </c>
      <c r="D148">
        <v>100</v>
      </c>
      <c r="E148" s="37">
        <f t="shared" si="68"/>
        <v>70.571428571428569</v>
      </c>
      <c r="F148">
        <v>30</v>
      </c>
      <c r="G148" s="71">
        <f t="shared" si="69"/>
        <v>1.4285714285714286</v>
      </c>
      <c r="H148" s="39">
        <f t="shared" si="70"/>
        <v>100</v>
      </c>
      <c r="I148">
        <v>100</v>
      </c>
      <c r="J148" s="71">
        <f t="shared" si="71"/>
        <v>7.1428571428571438E-2</v>
      </c>
      <c r="K148" s="71">
        <f t="shared" si="72"/>
        <v>70.642857142857139</v>
      </c>
      <c r="L148" s="72">
        <f t="shared" si="73"/>
        <v>24.277584496117591</v>
      </c>
      <c r="M148" s="73">
        <f t="shared" si="74"/>
        <v>0.45104640512044625</v>
      </c>
      <c r="N148" s="73">
        <f t="shared" si="75"/>
        <v>0.91156420429098783</v>
      </c>
      <c r="O148" s="74">
        <f t="shared" si="76"/>
        <v>8.8435795709012126</v>
      </c>
      <c r="P148" s="75">
        <f t="shared" si="77"/>
        <v>1.0970154326954922</v>
      </c>
      <c r="Q148" s="37">
        <f t="shared" si="78"/>
        <v>5.4850771634774614E-2</v>
      </c>
      <c r="R148" s="43">
        <f t="shared" si="79"/>
        <v>70.609701543269551</v>
      </c>
      <c r="S148" s="76">
        <f t="shared" si="80"/>
        <v>0.41115775738193011</v>
      </c>
      <c r="T148">
        <v>289</v>
      </c>
      <c r="U148" s="44">
        <f t="shared" si="81"/>
        <v>702.89321996555179</v>
      </c>
      <c r="V148">
        <v>41.5</v>
      </c>
      <c r="W148" s="77">
        <f t="shared" si="82"/>
        <v>227.23682125181625</v>
      </c>
      <c r="X148">
        <f t="shared" si="83"/>
        <v>1.44</v>
      </c>
      <c r="Y148" s="47">
        <f t="shared" si="84"/>
        <v>19.196165987970755</v>
      </c>
      <c r="Z148">
        <v>70.5</v>
      </c>
    </row>
    <row r="149" spans="1:26" ht="15" customHeight="1" thickBot="1">
      <c r="A149">
        <v>71</v>
      </c>
      <c r="B149" t="s">
        <v>167</v>
      </c>
      <c r="C149">
        <v>0.05</v>
      </c>
      <c r="D149">
        <v>100</v>
      </c>
      <c r="E149" s="37">
        <f t="shared" si="68"/>
        <v>71.071428571428569</v>
      </c>
      <c r="F149">
        <v>30</v>
      </c>
      <c r="G149" s="71">
        <f t="shared" si="69"/>
        <v>1.4285714285714286</v>
      </c>
      <c r="H149" s="39">
        <f t="shared" si="70"/>
        <v>100</v>
      </c>
      <c r="I149">
        <v>100</v>
      </c>
      <c r="J149" s="71">
        <f t="shared" si="71"/>
        <v>7.1428571428571438E-2</v>
      </c>
      <c r="K149" s="71">
        <f t="shared" si="72"/>
        <v>71.142857142857139</v>
      </c>
      <c r="L149" s="72">
        <f t="shared" si="73"/>
        <v>24.1263296994894</v>
      </c>
      <c r="M149" s="73">
        <f t="shared" si="74"/>
        <v>0.44787321433065413</v>
      </c>
      <c r="N149" s="73">
        <f t="shared" si="75"/>
        <v>0.91264643963270697</v>
      </c>
      <c r="O149" s="74">
        <f t="shared" si="76"/>
        <v>8.7353560367292999</v>
      </c>
      <c r="P149" s="75">
        <f t="shared" si="77"/>
        <v>1.0957145687243883</v>
      </c>
      <c r="Q149" s="37">
        <f t="shared" si="78"/>
        <v>5.4785728436219421E-2</v>
      </c>
      <c r="R149" s="43">
        <f t="shared" si="79"/>
        <v>71.109571456872445</v>
      </c>
      <c r="S149" s="76">
        <f t="shared" si="80"/>
        <v>0.40874989446572785</v>
      </c>
      <c r="T149">
        <v>290</v>
      </c>
      <c r="U149" s="44">
        <f t="shared" si="81"/>
        <v>709.48030550333374</v>
      </c>
      <c r="V149">
        <v>41.5</v>
      </c>
      <c r="W149" s="77">
        <f t="shared" si="82"/>
        <v>228.15766441070093</v>
      </c>
      <c r="X149">
        <f t="shared" si="83"/>
        <v>1.44</v>
      </c>
      <c r="Y149" s="47">
        <f t="shared" si="84"/>
        <v>19.286363632393503</v>
      </c>
      <c r="Z149">
        <v>71</v>
      </c>
    </row>
    <row r="150" spans="1:26" ht="15" customHeight="1" thickBot="1">
      <c r="A150">
        <v>71.5</v>
      </c>
      <c r="B150" t="s">
        <v>167</v>
      </c>
      <c r="C150">
        <v>0.05</v>
      </c>
      <c r="D150">
        <v>100</v>
      </c>
      <c r="E150" s="37">
        <f t="shared" si="68"/>
        <v>71.571428571428569</v>
      </c>
      <c r="F150">
        <v>30</v>
      </c>
      <c r="G150" s="71">
        <f t="shared" si="69"/>
        <v>1.4285714285714286</v>
      </c>
      <c r="H150" s="39">
        <f t="shared" si="70"/>
        <v>100</v>
      </c>
      <c r="I150">
        <v>100</v>
      </c>
      <c r="J150" s="71">
        <f t="shared" si="71"/>
        <v>7.1428571428571438E-2</v>
      </c>
      <c r="K150" s="71">
        <f t="shared" si="72"/>
        <v>71.642857142857139</v>
      </c>
      <c r="L150" s="72">
        <f t="shared" si="73"/>
        <v>23.976837202776267</v>
      </c>
      <c r="M150" s="73">
        <f t="shared" si="74"/>
        <v>0.44474435953992097</v>
      </c>
      <c r="N150" s="73">
        <f t="shared" si="75"/>
        <v>0.91370981612092428</v>
      </c>
      <c r="O150" s="74">
        <f t="shared" si="76"/>
        <v>8.6290183879075784</v>
      </c>
      <c r="P150" s="75">
        <f t="shared" si="77"/>
        <v>1.0944393749050583</v>
      </c>
      <c r="Q150" s="37">
        <f t="shared" si="78"/>
        <v>5.4721968745252918E-2</v>
      </c>
      <c r="R150" s="43">
        <f t="shared" si="79"/>
        <v>71.609443937490511</v>
      </c>
      <c r="S150" s="76">
        <f t="shared" si="80"/>
        <v>0.40636728697603941</v>
      </c>
      <c r="T150">
        <v>291</v>
      </c>
      <c r="U150" s="44">
        <f t="shared" si="81"/>
        <v>716.10094937872839</v>
      </c>
      <c r="V150">
        <v>41.5</v>
      </c>
      <c r="W150" s="77">
        <f t="shared" si="82"/>
        <v>229.07946899760313</v>
      </c>
      <c r="X150">
        <f t="shared" si="83"/>
        <v>1.44</v>
      </c>
      <c r="Y150" s="47">
        <f t="shared" si="84"/>
        <v>19.37688054062091</v>
      </c>
      <c r="Z150">
        <v>71.5</v>
      </c>
    </row>
    <row r="151" spans="1:26" ht="15" customHeight="1" thickBot="1">
      <c r="A151">
        <v>72</v>
      </c>
      <c r="B151" t="s">
        <v>167</v>
      </c>
      <c r="C151">
        <v>0.05</v>
      </c>
      <c r="D151">
        <v>100</v>
      </c>
      <c r="E151" s="37">
        <f t="shared" si="68"/>
        <v>72.071428571428569</v>
      </c>
      <c r="F151">
        <v>30</v>
      </c>
      <c r="G151" s="71">
        <f t="shared" si="69"/>
        <v>1.4285714285714286</v>
      </c>
      <c r="H151" s="39">
        <f t="shared" si="70"/>
        <v>100</v>
      </c>
      <c r="I151">
        <v>100</v>
      </c>
      <c r="J151" s="71">
        <f t="shared" si="71"/>
        <v>7.1428571428571438E-2</v>
      </c>
      <c r="K151" s="71">
        <f t="shared" si="72"/>
        <v>72.142857142857139</v>
      </c>
      <c r="L151" s="72">
        <f t="shared" si="73"/>
        <v>23.82907838524844</v>
      </c>
      <c r="M151" s="73">
        <f t="shared" si="74"/>
        <v>0.44165891799702761</v>
      </c>
      <c r="N151" s="73">
        <f t="shared" si="75"/>
        <v>0.91475474818025793</v>
      </c>
      <c r="O151" s="74">
        <f t="shared" si="76"/>
        <v>8.5245251819742123</v>
      </c>
      <c r="P151" s="75">
        <f t="shared" si="77"/>
        <v>1.0931891875820512</v>
      </c>
      <c r="Q151" s="37">
        <f t="shared" si="78"/>
        <v>5.4659459379102562E-2</v>
      </c>
      <c r="R151" s="43">
        <f t="shared" si="79"/>
        <v>72.109318918758206</v>
      </c>
      <c r="S151" s="76">
        <f t="shared" si="80"/>
        <v>0.40400959231393618</v>
      </c>
      <c r="T151">
        <v>292</v>
      </c>
      <c r="U151" s="44">
        <f t="shared" si="81"/>
        <v>722.75511659906579</v>
      </c>
      <c r="V151">
        <v>41.5</v>
      </c>
      <c r="W151" s="77">
        <f t="shared" si="82"/>
        <v>230.00221861008353</v>
      </c>
      <c r="X151">
        <f t="shared" si="83"/>
        <v>1.44</v>
      </c>
      <c r="Y151" s="47">
        <f t="shared" si="84"/>
        <v>19.467710064485026</v>
      </c>
      <c r="Z151">
        <v>72</v>
      </c>
    </row>
    <row r="152" spans="1:26" ht="15" customHeight="1" thickBot="1">
      <c r="A152">
        <v>72.5</v>
      </c>
      <c r="B152" t="s">
        <v>167</v>
      </c>
      <c r="C152">
        <v>0.05</v>
      </c>
      <c r="D152">
        <v>100</v>
      </c>
      <c r="E152" s="37">
        <f t="shared" si="68"/>
        <v>72.571428571428569</v>
      </c>
      <c r="F152">
        <v>30</v>
      </c>
      <c r="G152" s="71">
        <f t="shared" si="69"/>
        <v>1.4285714285714286</v>
      </c>
      <c r="H152" s="39">
        <f t="shared" si="70"/>
        <v>100</v>
      </c>
      <c r="I152">
        <v>100</v>
      </c>
      <c r="J152" s="71">
        <f t="shared" si="71"/>
        <v>7.1428571428571438E-2</v>
      </c>
      <c r="K152" s="71">
        <f t="shared" si="72"/>
        <v>72.642857142857139</v>
      </c>
      <c r="L152" s="72">
        <f t="shared" si="73"/>
        <v>23.68302519391797</v>
      </c>
      <c r="M152" s="73">
        <f t="shared" si="74"/>
        <v>0.43861599238090637</v>
      </c>
      <c r="N152" s="73">
        <f t="shared" si="75"/>
        <v>0.9157816395473749</v>
      </c>
      <c r="O152" s="74">
        <f t="shared" si="76"/>
        <v>8.4218360452625092</v>
      </c>
      <c r="P152" s="75">
        <f t="shared" si="77"/>
        <v>1.0919633642079241</v>
      </c>
      <c r="Q152" s="37">
        <f t="shared" si="78"/>
        <v>5.4598168210396203E-2</v>
      </c>
      <c r="R152" s="43">
        <f t="shared" si="79"/>
        <v>72.609196336420794</v>
      </c>
      <c r="S152" s="76">
        <f t="shared" si="80"/>
        <v>0.40167647263428535</v>
      </c>
      <c r="T152">
        <v>293</v>
      </c>
      <c r="U152" s="44">
        <f t="shared" si="81"/>
        <v>729.44277288246326</v>
      </c>
      <c r="V152">
        <v>41.5</v>
      </c>
      <c r="W152" s="77">
        <f t="shared" si="82"/>
        <v>230.92589719410873</v>
      </c>
      <c r="X152">
        <f t="shared" si="83"/>
        <v>1.44</v>
      </c>
      <c r="Y152" s="47">
        <f t="shared" si="84"/>
        <v>19.55884573916676</v>
      </c>
      <c r="Z152">
        <v>72.5</v>
      </c>
    </row>
    <row r="153" spans="1:26" ht="15" customHeight="1" thickBot="1">
      <c r="A153">
        <v>73</v>
      </c>
      <c r="B153" t="s">
        <v>167</v>
      </c>
      <c r="C153">
        <v>0.05</v>
      </c>
      <c r="D153">
        <v>100</v>
      </c>
      <c r="E153" s="37">
        <f t="shared" si="68"/>
        <v>73.071428571428569</v>
      </c>
      <c r="F153">
        <v>30</v>
      </c>
      <c r="G153" s="71">
        <f t="shared" si="69"/>
        <v>1.4285714285714286</v>
      </c>
      <c r="H153" s="39">
        <f t="shared" si="70"/>
        <v>100</v>
      </c>
      <c r="I153">
        <v>100</v>
      </c>
      <c r="J153" s="71">
        <f t="shared" si="71"/>
        <v>7.1428571428571438E-2</v>
      </c>
      <c r="K153" s="71">
        <f t="shared" si="72"/>
        <v>73.142857142857139</v>
      </c>
      <c r="L153" s="72">
        <f t="shared" si="73"/>
        <v>23.538650131039947</v>
      </c>
      <c r="M153" s="73">
        <f t="shared" si="74"/>
        <v>0.43561470993059714</v>
      </c>
      <c r="N153" s="73">
        <f t="shared" si="75"/>
        <v>0.91679088357730198</v>
      </c>
      <c r="O153" s="74">
        <f t="shared" si="76"/>
        <v>8.320911642269806</v>
      </c>
      <c r="P153" s="75">
        <f t="shared" si="77"/>
        <v>1.0907612825489903</v>
      </c>
      <c r="Q153" s="37">
        <f t="shared" si="78"/>
        <v>5.453806412744952E-2</v>
      </c>
      <c r="R153" s="43">
        <f t="shared" si="79"/>
        <v>73.109076128254898</v>
      </c>
      <c r="S153" s="76">
        <f t="shared" si="80"/>
        <v>0.39936759481654227</v>
      </c>
      <c r="T153">
        <v>294</v>
      </c>
      <c r="U153" s="44">
        <f t="shared" si="81"/>
        <v>736.16388464130387</v>
      </c>
      <c r="V153">
        <v>41.5</v>
      </c>
      <c r="W153" s="77">
        <f t="shared" si="82"/>
        <v>231.85048903549873</v>
      </c>
      <c r="X153">
        <f t="shared" si="83"/>
        <v>1.44</v>
      </c>
      <c r="Y153" s="47">
        <f t="shared" si="84"/>
        <v>19.650281276917021</v>
      </c>
      <c r="Z153">
        <v>73</v>
      </c>
    </row>
    <row r="154" spans="1:26" ht="15" customHeight="1" thickBot="1">
      <c r="A154">
        <v>73.5</v>
      </c>
      <c r="B154" t="s">
        <v>167</v>
      </c>
      <c r="C154">
        <v>0.05</v>
      </c>
      <c r="D154">
        <v>100</v>
      </c>
      <c r="E154" s="37">
        <f t="shared" si="68"/>
        <v>73.571428571428569</v>
      </c>
      <c r="F154">
        <v>30</v>
      </c>
      <c r="G154" s="71">
        <f t="shared" si="69"/>
        <v>1.4285714285714286</v>
      </c>
      <c r="H154" s="39">
        <f t="shared" si="70"/>
        <v>100</v>
      </c>
      <c r="I154">
        <v>100</v>
      </c>
      <c r="J154" s="71">
        <f t="shared" si="71"/>
        <v>7.1428571428571438E-2</v>
      </c>
      <c r="K154" s="71">
        <f t="shared" si="72"/>
        <v>73.642857142857139</v>
      </c>
      <c r="L154" s="72">
        <f t="shared" si="73"/>
        <v>23.395926241884158</v>
      </c>
      <c r="M154" s="73">
        <f t="shared" si="74"/>
        <v>0.43265422161068046</v>
      </c>
      <c r="N154" s="73">
        <f t="shared" si="75"/>
        <v>0.91778286354050864</v>
      </c>
      <c r="O154" s="74">
        <f t="shared" si="76"/>
        <v>8.2217136459491371</v>
      </c>
      <c r="P154" s="75">
        <f t="shared" si="77"/>
        <v>1.0895823399255073</v>
      </c>
      <c r="Q154" s="37">
        <f t="shared" si="78"/>
        <v>5.4479116996275369E-2</v>
      </c>
      <c r="R154" s="43">
        <f t="shared" si="79"/>
        <v>73.608958233992553</v>
      </c>
      <c r="S154" s="76">
        <f t="shared" si="80"/>
        <v>0.39708263043274017</v>
      </c>
      <c r="T154">
        <v>295</v>
      </c>
      <c r="U154" s="44">
        <f t="shared" si="81"/>
        <v>742.91841896612141</v>
      </c>
      <c r="V154">
        <v>41.5</v>
      </c>
      <c r="W154" s="77">
        <f t="shared" si="82"/>
        <v>232.77597875160245</v>
      </c>
      <c r="X154">
        <f t="shared" si="83"/>
        <v>1.44</v>
      </c>
      <c r="Y154" s="47">
        <f t="shared" si="84"/>
        <v>19.742010561034235</v>
      </c>
      <c r="Z154">
        <v>73.5</v>
      </c>
    </row>
    <row r="155" spans="1:26" ht="15" customHeight="1" thickBot="1">
      <c r="A155">
        <v>74</v>
      </c>
      <c r="B155" t="s">
        <v>167</v>
      </c>
      <c r="C155">
        <v>0.05</v>
      </c>
      <c r="D155">
        <v>100</v>
      </c>
      <c r="E155" s="37">
        <f t="shared" si="68"/>
        <v>74.071428571428569</v>
      </c>
      <c r="F155">
        <v>30</v>
      </c>
      <c r="G155" s="71">
        <f t="shared" si="69"/>
        <v>1.4285714285714286</v>
      </c>
      <c r="H155" s="39">
        <f t="shared" si="70"/>
        <v>100</v>
      </c>
      <c r="I155">
        <v>100</v>
      </c>
      <c r="J155" s="71">
        <f t="shared" si="71"/>
        <v>7.1428571428571438E-2</v>
      </c>
      <c r="K155" s="71">
        <f t="shared" si="72"/>
        <v>74.142857142857139</v>
      </c>
      <c r="L155" s="72">
        <f t="shared" si="73"/>
        <v>23.254827102773149</v>
      </c>
      <c r="M155" s="73">
        <f t="shared" si="74"/>
        <v>0.42973370131051197</v>
      </c>
      <c r="N155" s="73">
        <f t="shared" si="75"/>
        <v>0.91875795291103091</v>
      </c>
      <c r="O155" s="74">
        <f t="shared" si="76"/>
        <v>8.1242047088969116</v>
      </c>
      <c r="P155" s="75">
        <f t="shared" si="77"/>
        <v>1.0884259524846107</v>
      </c>
      <c r="Q155" s="37">
        <f t="shared" si="78"/>
        <v>5.4421297624230536E-2</v>
      </c>
      <c r="R155" s="43">
        <f t="shared" si="79"/>
        <v>74.108842595248461</v>
      </c>
      <c r="S155" s="76">
        <f t="shared" si="80"/>
        <v>0.39482125571292631</v>
      </c>
      <c r="T155">
        <v>296</v>
      </c>
      <c r="U155" s="44">
        <f t="shared" si="81"/>
        <v>749.7063436098814</v>
      </c>
      <c r="V155">
        <v>41.5</v>
      </c>
      <c r="W155" s="77">
        <f t="shared" si="82"/>
        <v>233.70235128319473</v>
      </c>
      <c r="X155">
        <f t="shared" si="83"/>
        <v>1.44</v>
      </c>
      <c r="Y155" s="47">
        <f t="shared" si="84"/>
        <v>19.83402764008601</v>
      </c>
      <c r="Z155">
        <v>74</v>
      </c>
    </row>
    <row r="156" spans="1:26" ht="15" customHeight="1" thickBot="1">
      <c r="A156">
        <v>74.5</v>
      </c>
      <c r="B156" t="s">
        <v>167</v>
      </c>
      <c r="C156">
        <v>0.05</v>
      </c>
      <c r="D156">
        <v>100</v>
      </c>
      <c r="E156" s="37">
        <f t="shared" si="68"/>
        <v>74.571428571428569</v>
      </c>
      <c r="F156">
        <v>30</v>
      </c>
      <c r="G156" s="71">
        <f t="shared" si="69"/>
        <v>1.4285714285714286</v>
      </c>
      <c r="H156" s="39">
        <f t="shared" si="70"/>
        <v>100</v>
      </c>
      <c r="I156">
        <v>100</v>
      </c>
      <c r="J156" s="71">
        <f t="shared" si="71"/>
        <v>7.1428571428571438E-2</v>
      </c>
      <c r="K156" s="71">
        <f t="shared" si="72"/>
        <v>74.642857142857139</v>
      </c>
      <c r="L156" s="72">
        <f t="shared" si="73"/>
        <v>23.115326809382712</v>
      </c>
      <c r="M156" s="73">
        <f t="shared" si="74"/>
        <v>0.42685234507567132</v>
      </c>
      <c r="N156" s="73">
        <f t="shared" si="75"/>
        <v>0.91971651564589707</v>
      </c>
      <c r="O156" s="74">
        <f t="shared" si="76"/>
        <v>8.0283484354102939</v>
      </c>
      <c r="P156" s="75">
        <f t="shared" si="77"/>
        <v>1.0872915545044024</v>
      </c>
      <c r="Q156" s="37">
        <f t="shared" si="78"/>
        <v>5.4364577725220124E-2</v>
      </c>
      <c r="R156" s="43">
        <f t="shared" si="79"/>
        <v>74.608729155450433</v>
      </c>
      <c r="S156" s="76">
        <f t="shared" si="80"/>
        <v>0.39258315150827655</v>
      </c>
      <c r="T156">
        <v>297</v>
      </c>
      <c r="U156" s="44">
        <f t="shared" si="81"/>
        <v>756.52762697264802</v>
      </c>
      <c r="V156">
        <v>41.5</v>
      </c>
      <c r="W156" s="77">
        <f t="shared" si="82"/>
        <v>234.62959188658894</v>
      </c>
      <c r="X156">
        <f t="shared" si="83"/>
        <v>1.44</v>
      </c>
      <c r="Y156" s="47">
        <f t="shared" si="84"/>
        <v>19.926326722363601</v>
      </c>
      <c r="Z156">
        <v>74.5</v>
      </c>
    </row>
    <row r="157" spans="1:26" ht="15" customHeight="1" thickBot="1">
      <c r="A157">
        <v>75</v>
      </c>
      <c r="B157" t="s">
        <v>167</v>
      </c>
      <c r="C157">
        <v>0.05</v>
      </c>
      <c r="D157">
        <v>100</v>
      </c>
      <c r="E157" s="37">
        <f t="shared" si="68"/>
        <v>75.071428571428569</v>
      </c>
      <c r="F157">
        <v>30</v>
      </c>
      <c r="G157" s="71">
        <f t="shared" si="69"/>
        <v>1.4285714285714286</v>
      </c>
      <c r="H157" s="39">
        <f t="shared" si="70"/>
        <v>100</v>
      </c>
      <c r="I157">
        <v>100</v>
      </c>
      <c r="J157" s="71">
        <f t="shared" si="71"/>
        <v>7.1428571428571438E-2</v>
      </c>
      <c r="K157" s="71">
        <f t="shared" si="72"/>
        <v>75.142857142857139</v>
      </c>
      <c r="L157" s="72">
        <f t="shared" si="73"/>
        <v>22.977399965300513</v>
      </c>
      <c r="M157" s="73">
        <f t="shared" si="74"/>
        <v>0.42400937037012448</v>
      </c>
      <c r="N157" s="73">
        <f t="shared" si="75"/>
        <v>0.92065890645611281</v>
      </c>
      <c r="O157" s="74">
        <f t="shared" si="76"/>
        <v>7.934109354388724</v>
      </c>
      <c r="P157" s="75">
        <f t="shared" si="77"/>
        <v>1.0861785977276801</v>
      </c>
      <c r="Q157" s="37">
        <f t="shared" si="78"/>
        <v>5.4308929886384007E-2</v>
      </c>
      <c r="R157" s="43">
        <f t="shared" si="79"/>
        <v>75.108617859772764</v>
      </c>
      <c r="S157" s="76">
        <f t="shared" si="80"/>
        <v>0.39036800325210375</v>
      </c>
      <c r="T157">
        <v>298</v>
      </c>
      <c r="U157" s="44">
        <f t="shared" si="81"/>
        <v>763.38223808663042</v>
      </c>
      <c r="V157">
        <v>41.5</v>
      </c>
      <c r="W157" s="77">
        <f t="shared" si="82"/>
        <v>235.55768612595998</v>
      </c>
      <c r="X157">
        <f t="shared" si="83"/>
        <v>1.44</v>
      </c>
      <c r="Y157" s="47">
        <f t="shared" si="84"/>
        <v>20.018902170558139</v>
      </c>
      <c r="Z157">
        <v>75</v>
      </c>
    </row>
    <row r="158" spans="1:26" ht="15" customHeight="1" thickBot="1">
      <c r="A158">
        <v>75.5</v>
      </c>
      <c r="B158" t="s">
        <v>167</v>
      </c>
      <c r="C158">
        <v>0.05</v>
      </c>
      <c r="D158">
        <v>100</v>
      </c>
      <c r="E158" s="37">
        <f t="shared" si="68"/>
        <v>75.571428571428569</v>
      </c>
      <c r="F158">
        <v>30</v>
      </c>
      <c r="G158" s="71">
        <f t="shared" si="69"/>
        <v>1.4285714285714286</v>
      </c>
      <c r="H158" s="39">
        <f t="shared" si="70"/>
        <v>100</v>
      </c>
      <c r="I158">
        <v>100</v>
      </c>
      <c r="J158" s="71">
        <f t="shared" si="71"/>
        <v>7.1428571428571438E-2</v>
      </c>
      <c r="K158" s="71">
        <f t="shared" si="72"/>
        <v>75.642857142857139</v>
      </c>
      <c r="L158" s="72">
        <f t="shared" si="73"/>
        <v>22.841021670838671</v>
      </c>
      <c r="M158" s="73">
        <f t="shared" si="74"/>
        <v>0.42120401536767571</v>
      </c>
      <c r="N158" s="73">
        <f t="shared" si="75"/>
        <v>0.92158547106945543</v>
      </c>
      <c r="O158" s="74">
        <f t="shared" si="76"/>
        <v>7.8414528930544511</v>
      </c>
      <c r="P158" s="75">
        <f t="shared" si="77"/>
        <v>1.0850865507238827</v>
      </c>
      <c r="Q158" s="37">
        <f t="shared" si="78"/>
        <v>5.4254327536194136E-2</v>
      </c>
      <c r="R158" s="43">
        <f t="shared" si="79"/>
        <v>75.608508655072384</v>
      </c>
      <c r="S158" s="76">
        <f t="shared" si="80"/>
        <v>0.38817550091896558</v>
      </c>
      <c r="T158">
        <v>299</v>
      </c>
      <c r="U158" s="44">
        <f t="shared" si="81"/>
        <v>770.27014660159705</v>
      </c>
      <c r="V158">
        <v>41.5</v>
      </c>
      <c r="W158" s="77">
        <f t="shared" si="82"/>
        <v>236.48661986587089</v>
      </c>
      <c r="X158">
        <f t="shared" si="83"/>
        <v>1.44</v>
      </c>
      <c r="Y158" s="47">
        <f t="shared" si="84"/>
        <v>20.111748496648502</v>
      </c>
      <c r="Z158">
        <v>75.5</v>
      </c>
    </row>
    <row r="159" spans="1:26" ht="15" customHeight="1" thickBot="1">
      <c r="A159">
        <v>76</v>
      </c>
      <c r="B159" t="s">
        <v>167</v>
      </c>
      <c r="C159">
        <v>0.05</v>
      </c>
      <c r="D159">
        <v>100</v>
      </c>
      <c r="E159" s="37">
        <f t="shared" si="68"/>
        <v>76.071428571428569</v>
      </c>
      <c r="F159">
        <v>30</v>
      </c>
      <c r="G159" s="71">
        <f t="shared" si="69"/>
        <v>1.4285714285714286</v>
      </c>
      <c r="H159" s="39">
        <f t="shared" si="70"/>
        <v>100</v>
      </c>
      <c r="I159">
        <v>100</v>
      </c>
      <c r="J159" s="71">
        <f t="shared" si="71"/>
        <v>7.1428571428571438E-2</v>
      </c>
      <c r="K159" s="71">
        <f t="shared" si="72"/>
        <v>76.142857142857139</v>
      </c>
      <c r="L159" s="72">
        <f t="shared" si="73"/>
        <v>22.706167512095838</v>
      </c>
      <c r="M159" s="73">
        <f t="shared" si="74"/>
        <v>0.41843553827136232</v>
      </c>
      <c r="N159" s="73">
        <f t="shared" si="75"/>
        <v>0.92249654648532209</v>
      </c>
      <c r="O159" s="74">
        <f t="shared" si="76"/>
        <v>7.7503453514677858</v>
      </c>
      <c r="P159" s="75">
        <f t="shared" si="77"/>
        <v>1.0840148982778994</v>
      </c>
      <c r="Q159" s="37">
        <f t="shared" si="78"/>
        <v>5.4200744913894976E-2</v>
      </c>
      <c r="R159" s="43">
        <f t="shared" si="79"/>
        <v>76.108401489827784</v>
      </c>
      <c r="S159" s="76">
        <f t="shared" si="80"/>
        <v>0.38600533898205852</v>
      </c>
      <c r="T159">
        <v>300</v>
      </c>
      <c r="U159" s="44">
        <f t="shared" si="81"/>
        <v>777.19132277065205</v>
      </c>
      <c r="V159">
        <v>41.5</v>
      </c>
      <c r="W159" s="77">
        <f t="shared" si="82"/>
        <v>237.41637926399895</v>
      </c>
      <c r="X159">
        <f t="shared" si="83"/>
        <v>1.44</v>
      </c>
      <c r="Y159" s="47">
        <f t="shared" si="84"/>
        <v>20.20486035699102</v>
      </c>
      <c r="Z159">
        <v>76</v>
      </c>
    </row>
    <row r="160" spans="1:26" ht="15" customHeight="1" thickBot="1">
      <c r="A160">
        <v>76.5</v>
      </c>
      <c r="B160" t="s">
        <v>167</v>
      </c>
      <c r="C160">
        <v>0.05</v>
      </c>
      <c r="D160">
        <v>100</v>
      </c>
      <c r="E160" s="37">
        <f t="shared" si="68"/>
        <v>76.571428571428569</v>
      </c>
      <c r="F160">
        <v>30</v>
      </c>
      <c r="G160" s="71">
        <f t="shared" si="69"/>
        <v>1.4285714285714286</v>
      </c>
      <c r="H160" s="39">
        <f t="shared" si="70"/>
        <v>100</v>
      </c>
      <c r="I160">
        <v>100</v>
      </c>
      <c r="J160" s="71">
        <f t="shared" si="71"/>
        <v>7.1428571428571438E-2</v>
      </c>
      <c r="K160" s="71">
        <f t="shared" si="72"/>
        <v>76.642857142857139</v>
      </c>
      <c r="L160" s="72">
        <f t="shared" si="73"/>
        <v>22.572813550264598</v>
      </c>
      <c r="M160" s="73">
        <f t="shared" si="74"/>
        <v>0.41570321665951576</v>
      </c>
      <c r="N160" s="73">
        <f t="shared" si="75"/>
        <v>0.92339246122186991</v>
      </c>
      <c r="O160" s="74">
        <f t="shared" si="76"/>
        <v>7.6607538778130078</v>
      </c>
      <c r="P160" s="75">
        <f t="shared" si="77"/>
        <v>1.0829631408044635</v>
      </c>
      <c r="Q160" s="37">
        <f t="shared" si="78"/>
        <v>5.4148157040223181E-2</v>
      </c>
      <c r="R160" s="43">
        <f t="shared" si="79"/>
        <v>76.608296314080448</v>
      </c>
      <c r="S160" s="76">
        <f t="shared" si="80"/>
        <v>0.38385721636907849</v>
      </c>
      <c r="T160">
        <v>301</v>
      </c>
      <c r="U160" s="44">
        <f t="shared" si="81"/>
        <v>784.1457374363614</v>
      </c>
      <c r="V160">
        <v>41.5</v>
      </c>
      <c r="W160" s="77">
        <f t="shared" si="82"/>
        <v>238.34695076405433</v>
      </c>
      <c r="X160">
        <f t="shared" si="83"/>
        <v>1.44</v>
      </c>
      <c r="Y160" s="47">
        <f t="shared" si="84"/>
        <v>20.298232547601703</v>
      </c>
      <c r="Z160">
        <v>76.5</v>
      </c>
    </row>
    <row r="161" spans="1:26" ht="15" customHeight="1" thickBot="1">
      <c r="A161">
        <v>77</v>
      </c>
      <c r="B161" t="s">
        <v>167</v>
      </c>
      <c r="C161">
        <v>0.05</v>
      </c>
      <c r="D161">
        <v>100</v>
      </c>
      <c r="E161" s="37">
        <f t="shared" si="68"/>
        <v>77.071428571428569</v>
      </c>
      <c r="F161">
        <v>30</v>
      </c>
      <c r="G161" s="71">
        <f t="shared" si="69"/>
        <v>1.4285714285714286</v>
      </c>
      <c r="H161" s="39">
        <f t="shared" si="70"/>
        <v>100</v>
      </c>
      <c r="I161">
        <v>100</v>
      </c>
      <c r="J161" s="71">
        <f t="shared" si="71"/>
        <v>7.1428571428571438E-2</v>
      </c>
      <c r="K161" s="71">
        <f t="shared" si="72"/>
        <v>77.142857142857139</v>
      </c>
      <c r="L161" s="72">
        <f t="shared" si="73"/>
        <v>22.440936311179488</v>
      </c>
      <c r="M161" s="73">
        <f t="shared" si="74"/>
        <v>0.41300634685727605</v>
      </c>
      <c r="N161" s="73">
        <f t="shared" si="75"/>
        <v>0.92427353555568093</v>
      </c>
      <c r="O161" s="74">
        <f t="shared" si="76"/>
        <v>7.5726464444319106</v>
      </c>
      <c r="P161" s="75">
        <f t="shared" si="77"/>
        <v>1.0819307937869191</v>
      </c>
      <c r="Q161" s="37">
        <f t="shared" si="78"/>
        <v>5.4096539689345961E-2</v>
      </c>
      <c r="R161" s="43">
        <f t="shared" si="79"/>
        <v>77.108193079378694</v>
      </c>
      <c r="S161" s="76">
        <f t="shared" si="80"/>
        <v>0.38173083641671052</v>
      </c>
      <c r="T161">
        <v>302</v>
      </c>
      <c r="U161" s="44">
        <f t="shared" si="81"/>
        <v>791.1333620172262</v>
      </c>
      <c r="V161">
        <v>41.5</v>
      </c>
      <c r="W161" s="77">
        <f t="shared" si="82"/>
        <v>239.27832108888765</v>
      </c>
      <c r="X161">
        <f t="shared" si="83"/>
        <v>1.44</v>
      </c>
      <c r="Y161" s="47">
        <f t="shared" si="84"/>
        <v>20.391859999622351</v>
      </c>
      <c r="Z161">
        <v>77</v>
      </c>
    </row>
    <row r="162" spans="1:26" ht="15" customHeight="1" thickBot="1">
      <c r="A162">
        <v>77.5</v>
      </c>
      <c r="B162" t="s">
        <v>167</v>
      </c>
      <c r="C162">
        <v>0.05</v>
      </c>
      <c r="D162">
        <v>100</v>
      </c>
      <c r="E162" s="37">
        <f t="shared" si="68"/>
        <v>77.571428571428569</v>
      </c>
      <c r="F162">
        <v>30</v>
      </c>
      <c r="G162" s="71">
        <f t="shared" si="69"/>
        <v>1.4285714285714286</v>
      </c>
      <c r="H162" s="39">
        <f t="shared" si="70"/>
        <v>100</v>
      </c>
      <c r="I162">
        <v>100</v>
      </c>
      <c r="J162" s="71">
        <f t="shared" si="71"/>
        <v>7.1428571428571438E-2</v>
      </c>
      <c r="K162" s="71">
        <f t="shared" si="72"/>
        <v>77.642857142857139</v>
      </c>
      <c r="L162" s="72">
        <f t="shared" si="73"/>
        <v>22.310512775101419</v>
      </c>
      <c r="M162" s="73">
        <f t="shared" si="74"/>
        <v>0.41034424333241332</v>
      </c>
      <c r="N162" s="73">
        <f t="shared" si="75"/>
        <v>0.92514008175417828</v>
      </c>
      <c r="O162" s="74">
        <f t="shared" si="76"/>
        <v>7.4859918245821717</v>
      </c>
      <c r="P162" s="75">
        <f t="shared" si="77"/>
        <v>1.0809173872392148</v>
      </c>
      <c r="Q162" s="37">
        <f t="shared" si="78"/>
        <v>5.4045869361960742E-2</v>
      </c>
      <c r="R162" s="43">
        <f t="shared" si="79"/>
        <v>77.608091738723928</v>
      </c>
      <c r="S162" s="76">
        <f t="shared" si="80"/>
        <v>0.37962590682390523</v>
      </c>
      <c r="T162">
        <v>303</v>
      </c>
      <c r="U162" s="44">
        <f t="shared" si="81"/>
        <v>798.15416849448786</v>
      </c>
      <c r="V162">
        <v>41.5</v>
      </c>
      <c r="W162" s="77">
        <f t="shared" si="82"/>
        <v>240.21047723377978</v>
      </c>
      <c r="X162">
        <f t="shared" si="83"/>
        <v>1.44</v>
      </c>
      <c r="Y162" s="47">
        <f t="shared" si="84"/>
        <v>20.485737774962136</v>
      </c>
      <c r="Z162">
        <v>77.5</v>
      </c>
    </row>
    <row r="163" spans="1:26" ht="15" customHeight="1" thickBot="1">
      <c r="A163">
        <v>78</v>
      </c>
      <c r="B163" t="s">
        <v>167</v>
      </c>
      <c r="C163">
        <v>0.05</v>
      </c>
      <c r="D163">
        <v>100</v>
      </c>
      <c r="E163" s="37">
        <f t="shared" si="68"/>
        <v>78.071428571428569</v>
      </c>
      <c r="F163">
        <v>30</v>
      </c>
      <c r="G163" s="71">
        <f t="shared" si="69"/>
        <v>1.4285714285714286</v>
      </c>
      <c r="H163" s="39">
        <f t="shared" si="70"/>
        <v>100</v>
      </c>
      <c r="I163">
        <v>100</v>
      </c>
      <c r="J163" s="71">
        <f t="shared" si="71"/>
        <v>7.1428571428571438E-2</v>
      </c>
      <c r="K163" s="71">
        <f t="shared" si="72"/>
        <v>78.142857142857139</v>
      </c>
      <c r="L163" s="72">
        <f t="shared" si="73"/>
        <v>22.181520366733924</v>
      </c>
      <c r="M163" s="73">
        <f t="shared" si="74"/>
        <v>0.40771623811436492</v>
      </c>
      <c r="N163" s="73">
        <f t="shared" si="75"/>
        <v>0.92599240430101248</v>
      </c>
      <c r="O163" s="74">
        <f t="shared" si="76"/>
        <v>7.4007595698987529</v>
      </c>
      <c r="P163" s="75">
        <f t="shared" si="77"/>
        <v>1.0799224651900383</v>
      </c>
      <c r="Q163" s="37">
        <f t="shared" si="78"/>
        <v>5.399612325950192E-2</v>
      </c>
      <c r="R163" s="43">
        <f t="shared" si="79"/>
        <v>78.107992246519004</v>
      </c>
      <c r="S163" s="76">
        <f t="shared" si="80"/>
        <v>0.37754213960408489</v>
      </c>
      <c r="T163">
        <v>304</v>
      </c>
      <c r="U163" s="44">
        <f t="shared" si="81"/>
        <v>805.20812939926145</v>
      </c>
      <c r="V163">
        <v>41.5</v>
      </c>
      <c r="W163" s="77">
        <f t="shared" si="82"/>
        <v>241.14340645990967</v>
      </c>
      <c r="X163">
        <f t="shared" si="83"/>
        <v>1.44</v>
      </c>
      <c r="Y163" s="47">
        <f t="shared" si="84"/>
        <v>20.579861062106943</v>
      </c>
      <c r="Z163">
        <v>78</v>
      </c>
    </row>
    <row r="164" spans="1:26" ht="15" customHeight="1" thickBot="1">
      <c r="A164">
        <v>78.5</v>
      </c>
      <c r="B164" t="s">
        <v>167</v>
      </c>
      <c r="C164">
        <v>0.05</v>
      </c>
      <c r="D164">
        <v>100</v>
      </c>
      <c r="E164" s="37">
        <f t="shared" si="68"/>
        <v>78.571428571428569</v>
      </c>
      <c r="F164">
        <v>30</v>
      </c>
      <c r="G164" s="71">
        <f t="shared" si="69"/>
        <v>1.4285714285714286</v>
      </c>
      <c r="H164" s="39">
        <f t="shared" si="70"/>
        <v>100</v>
      </c>
      <c r="I164">
        <v>100</v>
      </c>
      <c r="J164" s="71">
        <f t="shared" si="71"/>
        <v>7.1428571428571438E-2</v>
      </c>
      <c r="K164" s="71">
        <f t="shared" si="72"/>
        <v>78.642857142857139</v>
      </c>
      <c r="L164" s="72">
        <f t="shared" si="73"/>
        <v>22.053936945466706</v>
      </c>
      <c r="M164" s="73">
        <f t="shared" si="74"/>
        <v>0.40512168023545531</v>
      </c>
      <c r="N164" s="73">
        <f t="shared" si="75"/>
        <v>0.92683080011463514</v>
      </c>
      <c r="O164" s="74">
        <f t="shared" si="76"/>
        <v>7.3169199885364824</v>
      </c>
      <c r="P164" s="75">
        <f t="shared" si="77"/>
        <v>1.0789455851880569</v>
      </c>
      <c r="Q164" s="37">
        <f t="shared" si="78"/>
        <v>5.3947279259402847E-2</v>
      </c>
      <c r="R164" s="43">
        <f t="shared" si="79"/>
        <v>78.607894558518808</v>
      </c>
      <c r="S164" s="76">
        <f t="shared" si="80"/>
        <v>0.37547925103641244</v>
      </c>
      <c r="T164">
        <v>305</v>
      </c>
      <c r="U164" s="44">
        <f t="shared" si="81"/>
        <v>812.29521779999061</v>
      </c>
      <c r="V164">
        <v>41.5</v>
      </c>
      <c r="W164" s="77">
        <f t="shared" si="82"/>
        <v>242.07709628799577</v>
      </c>
      <c r="X164">
        <f t="shared" si="83"/>
        <v>1.44</v>
      </c>
      <c r="Y164" s="47">
        <f t="shared" si="84"/>
        <v>20.674225172088708</v>
      </c>
      <c r="Z164">
        <v>78.5</v>
      </c>
    </row>
    <row r="165" spans="1:26" ht="15" customHeight="1" thickBot="1">
      <c r="A165">
        <v>79</v>
      </c>
      <c r="B165" t="s">
        <v>167</v>
      </c>
      <c r="C165">
        <v>0.05</v>
      </c>
      <c r="D165">
        <v>100</v>
      </c>
      <c r="E165" s="37">
        <f t="shared" si="68"/>
        <v>79.071428571428569</v>
      </c>
      <c r="F165">
        <v>30</v>
      </c>
      <c r="G165" s="71">
        <f t="shared" si="69"/>
        <v>1.4285714285714286</v>
      </c>
      <c r="H165" s="39">
        <f t="shared" si="70"/>
        <v>100</v>
      </c>
      <c r="I165">
        <v>100</v>
      </c>
      <c r="J165" s="71">
        <f t="shared" si="71"/>
        <v>7.1428571428571438E-2</v>
      </c>
      <c r="K165" s="71">
        <f t="shared" si="72"/>
        <v>79.142857142857139</v>
      </c>
      <c r="L165" s="72">
        <f t="shared" si="73"/>
        <v>21.927740795842183</v>
      </c>
      <c r="M165" s="73">
        <f t="shared" si="74"/>
        <v>0.40255993519331607</v>
      </c>
      <c r="N165" s="73">
        <f t="shared" si="75"/>
        <v>0.92765555876026617</v>
      </c>
      <c r="O165" s="74">
        <f t="shared" si="76"/>
        <v>7.2344441239733897</v>
      </c>
      <c r="P165" s="75">
        <f t="shared" si="77"/>
        <v>1.0779863178272937</v>
      </c>
      <c r="Q165" s="37">
        <f t="shared" si="78"/>
        <v>5.3899315891364687E-2</v>
      </c>
      <c r="R165" s="43">
        <f t="shared" si="79"/>
        <v>79.107798631782728</v>
      </c>
      <c r="S165" s="76">
        <f t="shared" si="80"/>
        <v>0.37343696161625228</v>
      </c>
      <c r="T165">
        <v>306</v>
      </c>
      <c r="U165" s="44">
        <f t="shared" si="81"/>
        <v>819.41540729021028</v>
      </c>
      <c r="V165">
        <v>41.5</v>
      </c>
      <c r="W165" s="77">
        <f t="shared" si="82"/>
        <v>243.01153449210506</v>
      </c>
      <c r="X165">
        <f t="shared" si="83"/>
        <v>1.44</v>
      </c>
      <c r="Y165" s="47">
        <f t="shared" si="84"/>
        <v>20.768825534607988</v>
      </c>
      <c r="Z165">
        <v>79</v>
      </c>
    </row>
    <row r="166" spans="1:26" ht="15" customHeight="1" thickBot="1">
      <c r="A166">
        <v>79.5</v>
      </c>
      <c r="B166" t="s">
        <v>167</v>
      </c>
      <c r="C166">
        <v>0.05</v>
      </c>
      <c r="D166">
        <v>100</v>
      </c>
      <c r="E166" s="37">
        <f t="shared" si="68"/>
        <v>79.571428571428569</v>
      </c>
      <c r="F166">
        <v>30</v>
      </c>
      <c r="G166" s="71">
        <f t="shared" si="69"/>
        <v>1.4285714285714286</v>
      </c>
      <c r="H166" s="39">
        <f t="shared" si="70"/>
        <v>100</v>
      </c>
      <c r="I166">
        <v>100</v>
      </c>
      <c r="J166" s="71">
        <f t="shared" si="71"/>
        <v>7.1428571428571438E-2</v>
      </c>
      <c r="K166" s="71">
        <f t="shared" si="72"/>
        <v>79.642857142857139</v>
      </c>
      <c r="L166" s="72">
        <f t="shared" si="73"/>
        <v>21.802910618240372</v>
      </c>
      <c r="M166" s="73">
        <f t="shared" si="74"/>
        <v>0.40003038443357347</v>
      </c>
      <c r="N166" s="73">
        <f t="shared" si="75"/>
        <v>0.92846696265545914</v>
      </c>
      <c r="O166" s="74">
        <f t="shared" si="76"/>
        <v>7.1533037344540844</v>
      </c>
      <c r="P166" s="75">
        <f t="shared" si="77"/>
        <v>1.0770442462917076</v>
      </c>
      <c r="Q166" s="37">
        <f t="shared" si="78"/>
        <v>5.3852212314585382E-2</v>
      </c>
      <c r="R166" s="43">
        <f t="shared" si="79"/>
        <v>79.607704424629176</v>
      </c>
      <c r="S166" s="76">
        <f t="shared" si="80"/>
        <v>0.3714149960049356</v>
      </c>
      <c r="T166">
        <v>307</v>
      </c>
      <c r="U166" s="44">
        <f t="shared" si="81"/>
        <v>826.56867197661666</v>
      </c>
      <c r="V166">
        <v>41.5</v>
      </c>
      <c r="W166" s="77">
        <f t="shared" si="82"/>
        <v>243.94670909362603</v>
      </c>
      <c r="X166">
        <f t="shared" si="83"/>
        <v>1.44</v>
      </c>
      <c r="Y166" s="47">
        <f t="shared" si="84"/>
        <v>20.863657694302749</v>
      </c>
      <c r="Z166">
        <v>79.5</v>
      </c>
    </row>
    <row r="167" spans="1:26" ht="15" customHeight="1" thickBot="1">
      <c r="A167">
        <v>80</v>
      </c>
      <c r="B167" t="s">
        <v>167</v>
      </c>
      <c r="C167">
        <v>0.05</v>
      </c>
      <c r="D167">
        <v>100</v>
      </c>
      <c r="E167" s="37">
        <f t="shared" si="68"/>
        <v>80.071428571428569</v>
      </c>
      <c r="F167">
        <v>30</v>
      </c>
      <c r="G167" s="71">
        <f t="shared" si="69"/>
        <v>1.4285714285714286</v>
      </c>
      <c r="H167" s="39">
        <f t="shared" si="70"/>
        <v>100</v>
      </c>
      <c r="I167">
        <v>100</v>
      </c>
      <c r="J167" s="71">
        <f t="shared" si="71"/>
        <v>7.1428571428571438E-2</v>
      </c>
      <c r="K167" s="71">
        <f t="shared" si="72"/>
        <v>80.142857142857139</v>
      </c>
      <c r="L167" s="72">
        <f t="shared" si="73"/>
        <v>21.679425519777848</v>
      </c>
      <c r="M167" s="73">
        <f t="shared" si="74"/>
        <v>0.3975324248519187</v>
      </c>
      <c r="N167" s="73">
        <f t="shared" si="75"/>
        <v>0.92926528726946023</v>
      </c>
      <c r="O167" s="74">
        <f t="shared" si="76"/>
        <v>7.0734712730539826</v>
      </c>
      <c r="P167" s="75">
        <f t="shared" si="77"/>
        <v>1.0761189659181025</v>
      </c>
      <c r="Q167" s="37">
        <f t="shared" si="78"/>
        <v>5.3805948295905126E-2</v>
      </c>
      <c r="R167" s="43">
        <f t="shared" si="79"/>
        <v>80.107611896591806</v>
      </c>
      <c r="S167" s="76">
        <f t="shared" si="80"/>
        <v>0.36941308297894326</v>
      </c>
      <c r="T167">
        <v>308</v>
      </c>
      <c r="U167" s="44">
        <f t="shared" si="81"/>
        <v>833.75498646742881</v>
      </c>
      <c r="V167">
        <v>41.5</v>
      </c>
      <c r="W167" s="77">
        <f t="shared" si="82"/>
        <v>244.88260835540058</v>
      </c>
      <c r="X167">
        <f t="shared" si="83"/>
        <v>1.44</v>
      </c>
      <c r="Y167" s="47">
        <f t="shared" si="84"/>
        <v>20.958717307157176</v>
      </c>
      <c r="Z167">
        <v>80</v>
      </c>
    </row>
    <row r="168" spans="1:26" ht="15" customHeight="1" thickBot="1">
      <c r="A168">
        <v>80.5</v>
      </c>
      <c r="B168" t="s">
        <v>167</v>
      </c>
      <c r="C168">
        <v>0.05</v>
      </c>
      <c r="D168">
        <v>100</v>
      </c>
      <c r="E168" s="37">
        <f t="shared" si="68"/>
        <v>80.571428571428569</v>
      </c>
      <c r="F168">
        <v>30</v>
      </c>
      <c r="G168" s="71">
        <f t="shared" si="69"/>
        <v>1.4285714285714286</v>
      </c>
      <c r="H168" s="39">
        <f t="shared" si="70"/>
        <v>100</v>
      </c>
      <c r="I168">
        <v>100</v>
      </c>
      <c r="J168" s="71">
        <f t="shared" si="71"/>
        <v>7.1428571428571438E-2</v>
      </c>
      <c r="K168" s="71">
        <f t="shared" si="72"/>
        <v>80.642857142857139</v>
      </c>
      <c r="L168" s="72">
        <f t="shared" si="73"/>
        <v>21.557265005416212</v>
      </c>
      <c r="M168" s="73">
        <f t="shared" si="74"/>
        <v>0.39506546831471706</v>
      </c>
      <c r="N168" s="73">
        <f t="shared" si="75"/>
        <v>0.9300508013165556</v>
      </c>
      <c r="O168" s="74">
        <f t="shared" si="76"/>
        <v>6.9949198683444385</v>
      </c>
      <c r="P168" s="75">
        <f t="shared" si="77"/>
        <v>1.0752100837765273</v>
      </c>
      <c r="Q168" s="37">
        <f t="shared" si="78"/>
        <v>5.3760504188826365E-2</v>
      </c>
      <c r="R168" s="43">
        <f t="shared" si="79"/>
        <v>80.60752100837766</v>
      </c>
      <c r="S168" s="76">
        <f t="shared" si="80"/>
        <v>0.36743095537860293</v>
      </c>
      <c r="T168">
        <v>309</v>
      </c>
      <c r="U168" s="44">
        <f t="shared" si="81"/>
        <v>840.97432586104412</v>
      </c>
      <c r="V168">
        <v>41.5</v>
      </c>
      <c r="W168" s="77">
        <f t="shared" si="82"/>
        <v>245.81922077601084</v>
      </c>
      <c r="X168">
        <f t="shared" si="83"/>
        <v>1.44</v>
      </c>
      <c r="Y168" s="47">
        <f t="shared" si="84"/>
        <v>21.054000137044234</v>
      </c>
      <c r="Z168">
        <v>80.5</v>
      </c>
    </row>
    <row r="169" spans="1:26" ht="15" customHeight="1" thickBot="1">
      <c r="A169">
        <v>81</v>
      </c>
      <c r="B169" t="s">
        <v>167</v>
      </c>
      <c r="C169">
        <v>0.05</v>
      </c>
      <c r="D169">
        <v>100</v>
      </c>
      <c r="E169" s="37">
        <f t="shared" ref="E169:E200" si="85">A169+J169</f>
        <v>81.071428571428569</v>
      </c>
      <c r="F169">
        <v>30</v>
      </c>
      <c r="G169" s="71">
        <f t="shared" ref="G169:G200" si="86">100/(100-F169)</f>
        <v>1.4285714285714286</v>
      </c>
      <c r="H169" s="39">
        <f t="shared" ref="H169:H200" si="87">3.1415926*E169*M169</f>
        <v>100</v>
      </c>
      <c r="I169">
        <v>100</v>
      </c>
      <c r="J169" s="71">
        <f t="shared" ref="J169:J200" si="88">G169*C169</f>
        <v>7.1428571428571438E-2</v>
      </c>
      <c r="K169" s="71">
        <f t="shared" ref="K169:K200" si="89">A169+2*J169</f>
        <v>81.142857142857139</v>
      </c>
      <c r="L169" s="72">
        <f t="shared" ref="L169:L200" si="90">ATAN(I169/(3.1415926*(A169+J169)))*180/3.1415926</f>
        <v>21.436408969275817</v>
      </c>
      <c r="M169" s="73">
        <f t="shared" ref="M169:M200" si="91">I169/(3.1415926*(A169+J169))</f>
        <v>0.39262894119735758</v>
      </c>
      <c r="N169" s="73">
        <f t="shared" ref="N169:N200" si="92">COS(L169*3.1415926/180)</f>
        <v>0.93082376694358981</v>
      </c>
      <c r="O169" s="74">
        <f t="shared" ref="O169:O200" si="93">(D169-I169*N169)/D169*100</f>
        <v>6.9176233056410155</v>
      </c>
      <c r="P169" s="75">
        <f t="shared" ref="P169:P200" si="94">100/(100-O169)</f>
        <v>1.0743172182673784</v>
      </c>
      <c r="Q169" s="37">
        <f t="shared" ref="Q169:Q200" si="95">P169*C169</f>
        <v>5.3715860913368919E-2</v>
      </c>
      <c r="R169" s="43">
        <f t="shared" ref="R169:R200" si="96">A169+2*Q169</f>
        <v>81.107431721826742</v>
      </c>
      <c r="S169" s="76">
        <f t="shared" ref="S169:S200" si="97">SIN(L169*3.1415926/180)</f>
        <v>0.36546835005639761</v>
      </c>
      <c r="T169">
        <v>310</v>
      </c>
      <c r="U169" s="44">
        <f t="shared" ref="U169:U200" si="98">T169/S169</f>
        <v>848.22666573497281</v>
      </c>
      <c r="V169">
        <v>41.5</v>
      </c>
      <c r="W169" s="77">
        <f t="shared" ref="W169:W200" si="99">2*SQRT((1000*U169*C169/3.1415926)+(V169*V169))</f>
        <v>246.75653508421649</v>
      </c>
      <c r="X169">
        <f t="shared" ref="X169:X200" si="100">1.44</f>
        <v>1.44</v>
      </c>
      <c r="Y169" s="47">
        <f t="shared" ref="Y169:Y200" si="101">3.14*(A169+Q169)*Q169*X169*P169</f>
        <v>21.149502052396301</v>
      </c>
      <c r="Z169">
        <v>81</v>
      </c>
    </row>
    <row r="170" spans="1:26" ht="15" customHeight="1" thickBot="1">
      <c r="A170">
        <v>81.5</v>
      </c>
      <c r="B170" t="s">
        <v>167</v>
      </c>
      <c r="C170">
        <v>0.05</v>
      </c>
      <c r="D170">
        <v>100</v>
      </c>
      <c r="E170" s="37">
        <f t="shared" si="85"/>
        <v>81.571428571428569</v>
      </c>
      <c r="F170">
        <v>30</v>
      </c>
      <c r="G170" s="71">
        <f t="shared" si="86"/>
        <v>1.4285714285714286</v>
      </c>
      <c r="H170" s="39">
        <f t="shared" si="87"/>
        <v>100</v>
      </c>
      <c r="I170">
        <v>100</v>
      </c>
      <c r="J170" s="71">
        <f t="shared" si="88"/>
        <v>7.1428571428571438E-2</v>
      </c>
      <c r="K170" s="71">
        <f t="shared" si="89"/>
        <v>81.642857142857139</v>
      </c>
      <c r="L170" s="72">
        <f t="shared" si="90"/>
        <v>21.316837686150322</v>
      </c>
      <c r="M170" s="73">
        <f t="shared" si="91"/>
        <v>0.39022228393958047</v>
      </c>
      <c r="N170" s="73">
        <f t="shared" si="92"/>
        <v>0.93158443991183848</v>
      </c>
      <c r="O170" s="74">
        <f t="shared" si="93"/>
        <v>6.8415560088161564</v>
      </c>
      <c r="P170" s="75">
        <f t="shared" si="94"/>
        <v>1.0734399987344529</v>
      </c>
      <c r="Q170" s="37">
        <f t="shared" si="95"/>
        <v>5.3671999936722649E-2</v>
      </c>
      <c r="R170" s="43">
        <f t="shared" si="96"/>
        <v>81.60734399987345</v>
      </c>
      <c r="S170" s="76">
        <f t="shared" si="97"/>
        <v>0.36352500782497243</v>
      </c>
      <c r="T170">
        <v>311</v>
      </c>
      <c r="U170" s="44">
        <f t="shared" si="98"/>
        <v>855.51198213504529</v>
      </c>
      <c r="V170">
        <v>41.5</v>
      </c>
      <c r="W170" s="77">
        <f t="shared" si="99"/>
        <v>247.69454023353782</v>
      </c>
      <c r="X170">
        <f t="shared" si="100"/>
        <v>1.44</v>
      </c>
      <c r="Y170" s="47">
        <f t="shared" si="101"/>
        <v>21.245219022998441</v>
      </c>
      <c r="Z170">
        <v>81.5</v>
      </c>
    </row>
    <row r="171" spans="1:26" ht="15" customHeight="1" thickBot="1">
      <c r="A171">
        <v>82</v>
      </c>
      <c r="B171" t="s">
        <v>167</v>
      </c>
      <c r="C171">
        <v>0.05</v>
      </c>
      <c r="D171">
        <v>100</v>
      </c>
      <c r="E171" s="37">
        <f t="shared" si="85"/>
        <v>82.071428571428569</v>
      </c>
      <c r="F171">
        <v>30</v>
      </c>
      <c r="G171" s="71">
        <f t="shared" si="86"/>
        <v>1.4285714285714286</v>
      </c>
      <c r="H171" s="39">
        <f t="shared" si="87"/>
        <v>100</v>
      </c>
      <c r="I171">
        <v>100</v>
      </c>
      <c r="J171" s="71">
        <f t="shared" si="88"/>
        <v>7.1428571428571438E-2</v>
      </c>
      <c r="K171" s="71">
        <f t="shared" si="89"/>
        <v>82.142857142857139</v>
      </c>
      <c r="L171" s="72">
        <f t="shared" si="90"/>
        <v>21.198531803217801</v>
      </c>
      <c r="M171" s="73">
        <f t="shared" si="91"/>
        <v>0.38784495061705909</v>
      </c>
      <c r="N171" s="73">
        <f t="shared" si="92"/>
        <v>0.93233306977340935</v>
      </c>
      <c r="O171" s="74">
        <f t="shared" si="93"/>
        <v>6.7666930226590694</v>
      </c>
      <c r="P171" s="75">
        <f t="shared" si="94"/>
        <v>1.0725780650932357</v>
      </c>
      <c r="Q171" s="37">
        <f t="shared" si="95"/>
        <v>5.362890325466179E-2</v>
      </c>
      <c r="R171" s="43">
        <f t="shared" si="96"/>
        <v>82.107257806509324</v>
      </c>
      <c r="S171" s="76">
        <f t="shared" si="97"/>
        <v>0.36160067340491908</v>
      </c>
      <c r="T171">
        <v>312</v>
      </c>
      <c r="U171" s="44">
        <f t="shared" si="98"/>
        <v>862.83025156489009</v>
      </c>
      <c r="V171">
        <v>41.5</v>
      </c>
      <c r="W171" s="77">
        <f t="shared" si="99"/>
        <v>248.6332253969816</v>
      </c>
      <c r="X171">
        <f t="shared" si="100"/>
        <v>1.44</v>
      </c>
      <c r="Y171" s="47">
        <f t="shared" si="101"/>
        <v>21.341147116898913</v>
      </c>
      <c r="Z171">
        <v>82</v>
      </c>
    </row>
    <row r="172" spans="1:26" ht="15" customHeight="1" thickBot="1">
      <c r="A172">
        <v>82.5</v>
      </c>
      <c r="B172" t="s">
        <v>167</v>
      </c>
      <c r="C172">
        <v>0.05</v>
      </c>
      <c r="D172">
        <v>100</v>
      </c>
      <c r="E172" s="37">
        <f t="shared" si="85"/>
        <v>82.571428571428569</v>
      </c>
      <c r="F172">
        <v>30</v>
      </c>
      <c r="G172" s="71">
        <f t="shared" si="86"/>
        <v>1.4285714285714286</v>
      </c>
      <c r="H172" s="39">
        <f t="shared" si="87"/>
        <v>100</v>
      </c>
      <c r="I172">
        <v>100</v>
      </c>
      <c r="J172" s="71">
        <f t="shared" si="88"/>
        <v>7.1428571428571438E-2</v>
      </c>
      <c r="K172" s="71">
        <f t="shared" si="89"/>
        <v>82.642857142857139</v>
      </c>
      <c r="L172" s="72">
        <f t="shared" si="90"/>
        <v>21.081472331944155</v>
      </c>
      <c r="M172" s="73">
        <f t="shared" si="91"/>
        <v>0.38549640852854744</v>
      </c>
      <c r="N172" s="73">
        <f t="shared" si="92"/>
        <v>0.93306990004234391</v>
      </c>
      <c r="O172" s="74">
        <f t="shared" si="93"/>
        <v>6.6930099957656068</v>
      </c>
      <c r="P172" s="75">
        <f t="shared" si="94"/>
        <v>1.071731067473743</v>
      </c>
      <c r="Q172" s="37">
        <f t="shared" si="95"/>
        <v>5.3586553373687153E-2</v>
      </c>
      <c r="R172" s="43">
        <f t="shared" si="96"/>
        <v>82.607173106747368</v>
      </c>
      <c r="S172" s="76">
        <f t="shared" si="97"/>
        <v>0.35969509537241434</v>
      </c>
      <c r="T172">
        <v>313</v>
      </c>
      <c r="U172" s="44">
        <f t="shared" si="98"/>
        <v>870.1814509756714</v>
      </c>
      <c r="V172">
        <v>41.5</v>
      </c>
      <c r="W172" s="77">
        <f t="shared" si="99"/>
        <v>249.57257996190481</v>
      </c>
      <c r="X172">
        <f t="shared" si="100"/>
        <v>1.44</v>
      </c>
      <c r="Y172" s="47">
        <f t="shared" si="101"/>
        <v>21.43728249743199</v>
      </c>
      <c r="Z172">
        <v>82.5</v>
      </c>
    </row>
    <row r="173" spans="1:26" ht="15" customHeight="1" thickBot="1">
      <c r="A173">
        <v>83</v>
      </c>
      <c r="B173" t="s">
        <v>167</v>
      </c>
      <c r="C173">
        <v>0.05</v>
      </c>
      <c r="D173">
        <v>100</v>
      </c>
      <c r="E173" s="37">
        <f t="shared" si="85"/>
        <v>83.071428571428569</v>
      </c>
      <c r="F173">
        <v>30</v>
      </c>
      <c r="G173" s="71">
        <f t="shared" si="86"/>
        <v>1.4285714285714286</v>
      </c>
      <c r="H173" s="39">
        <f t="shared" si="87"/>
        <v>100</v>
      </c>
      <c r="I173">
        <v>100</v>
      </c>
      <c r="J173" s="71">
        <f t="shared" si="88"/>
        <v>7.1428571428571438E-2</v>
      </c>
      <c r="K173" s="71">
        <f t="shared" si="89"/>
        <v>83.142857142857139</v>
      </c>
      <c r="L173" s="72">
        <f t="shared" si="90"/>
        <v>20.965640640174652</v>
      </c>
      <c r="M173" s="73">
        <f t="shared" si="91"/>
        <v>0.38317613779793713</v>
      </c>
      <c r="N173" s="73">
        <f t="shared" si="92"/>
        <v>0.9337951683605823</v>
      </c>
      <c r="O173" s="74">
        <f t="shared" si="93"/>
        <v>6.6204831639417705</v>
      </c>
      <c r="P173" s="75">
        <f t="shared" si="94"/>
        <v>1.0708986658772826</v>
      </c>
      <c r="Q173" s="37">
        <f t="shared" si="95"/>
        <v>5.354493329386413E-2</v>
      </c>
      <c r="R173" s="43">
        <f t="shared" si="96"/>
        <v>83.107089866587728</v>
      </c>
      <c r="S173" s="76">
        <f t="shared" si="97"/>
        <v>0.35780802610678236</v>
      </c>
      <c r="T173">
        <v>314</v>
      </c>
      <c r="U173" s="44">
        <f t="shared" si="98"/>
        <v>877.56555775607865</v>
      </c>
      <c r="V173">
        <v>41.5</v>
      </c>
      <c r="W173" s="77">
        <f t="shared" si="99"/>
        <v>250.51259352501276</v>
      </c>
      <c r="X173">
        <f t="shared" si="100"/>
        <v>1.44</v>
      </c>
      <c r="Y173" s="47">
        <f t="shared" si="101"/>
        <v>21.533621420348563</v>
      </c>
      <c r="Z173">
        <v>83</v>
      </c>
    </row>
    <row r="174" spans="1:26" ht="15" customHeight="1" thickBot="1">
      <c r="A174">
        <v>83.5</v>
      </c>
      <c r="B174" t="s">
        <v>167</v>
      </c>
      <c r="C174">
        <v>0.05</v>
      </c>
      <c r="D174">
        <v>100</v>
      </c>
      <c r="E174" s="37">
        <f t="shared" si="85"/>
        <v>83.571428571428569</v>
      </c>
      <c r="F174">
        <v>30</v>
      </c>
      <c r="G174" s="71">
        <f t="shared" si="86"/>
        <v>1.4285714285714286</v>
      </c>
      <c r="H174" s="39">
        <f t="shared" si="87"/>
        <v>100</v>
      </c>
      <c r="I174">
        <v>100</v>
      </c>
      <c r="J174" s="71">
        <f t="shared" si="88"/>
        <v>7.1428571428571438E-2</v>
      </c>
      <c r="K174" s="71">
        <f t="shared" si="89"/>
        <v>83.642857142857139</v>
      </c>
      <c r="L174" s="72">
        <f t="shared" si="90"/>
        <v>20.851018444409341</v>
      </c>
      <c r="M174" s="73">
        <f t="shared" si="91"/>
        <v>0.38088363099059902</v>
      </c>
      <c r="N174" s="73">
        <f t="shared" si="92"/>
        <v>0.93450910665895381</v>
      </c>
      <c r="O174" s="74">
        <f t="shared" si="93"/>
        <v>6.5490893341046217</v>
      </c>
      <c r="P174" s="75">
        <f t="shared" si="94"/>
        <v>1.0700805298465079</v>
      </c>
      <c r="Q174" s="37">
        <f t="shared" si="95"/>
        <v>5.3504026492325399E-2</v>
      </c>
      <c r="R174" s="43">
        <f t="shared" si="96"/>
        <v>83.607008052984654</v>
      </c>
      <c r="S174" s="76">
        <f t="shared" si="97"/>
        <v>0.35593922173804332</v>
      </c>
      <c r="T174">
        <v>315</v>
      </c>
      <c r="U174" s="44">
        <f t="shared" si="98"/>
        <v>884.9825497225678</v>
      </c>
      <c r="V174">
        <v>41.5</v>
      </c>
      <c r="W174" s="77">
        <f t="shared" si="99"/>
        <v>251.45325588748824</v>
      </c>
      <c r="X174">
        <f t="shared" si="100"/>
        <v>1.44</v>
      </c>
      <c r="Y174" s="47">
        <f t="shared" si="101"/>
        <v>21.630160231049629</v>
      </c>
      <c r="Z174">
        <v>83.5</v>
      </c>
    </row>
    <row r="175" spans="1:26" ht="15" customHeight="1" thickBot="1">
      <c r="A175">
        <v>84</v>
      </c>
      <c r="B175" t="s">
        <v>167</v>
      </c>
      <c r="C175">
        <v>0.05</v>
      </c>
      <c r="D175">
        <v>100</v>
      </c>
      <c r="E175" s="37">
        <f t="shared" si="85"/>
        <v>84.071428571428569</v>
      </c>
      <c r="F175">
        <v>30</v>
      </c>
      <c r="G175" s="71">
        <f t="shared" si="86"/>
        <v>1.4285714285714286</v>
      </c>
      <c r="H175" s="39">
        <f t="shared" si="87"/>
        <v>100</v>
      </c>
      <c r="I175">
        <v>100</v>
      </c>
      <c r="J175" s="71">
        <f t="shared" si="88"/>
        <v>7.1428571428571438E-2</v>
      </c>
      <c r="K175" s="71">
        <f t="shared" si="89"/>
        <v>84.142857142857139</v>
      </c>
      <c r="L175" s="72">
        <f t="shared" si="90"/>
        <v>20.737587802258375</v>
      </c>
      <c r="M175" s="73">
        <f t="shared" si="91"/>
        <v>0.37861839274341624</v>
      </c>
      <c r="N175" s="73">
        <f t="shared" si="92"/>
        <v>0.93521194131334884</v>
      </c>
      <c r="O175" s="74">
        <f t="shared" si="93"/>
        <v>6.4788058686651206</v>
      </c>
      <c r="P175" s="75">
        <f t="shared" si="94"/>
        <v>1.0692763381481927</v>
      </c>
      <c r="Q175" s="37">
        <f t="shared" si="95"/>
        <v>5.3463816907409638E-2</v>
      </c>
      <c r="R175" s="43">
        <f t="shared" si="96"/>
        <v>84.10692763381482</v>
      </c>
      <c r="S175" s="76">
        <f t="shared" si="97"/>
        <v>0.35408844209451024</v>
      </c>
      <c r="T175">
        <v>316</v>
      </c>
      <c r="U175" s="44">
        <f t="shared" si="98"/>
        <v>892.43240510983981</v>
      </c>
      <c r="V175">
        <v>41.5</v>
      </c>
      <c r="W175" s="77">
        <f t="shared" si="99"/>
        <v>252.39455705024724</v>
      </c>
      <c r="X175">
        <f t="shared" si="100"/>
        <v>1.44</v>
      </c>
      <c r="Y175" s="47">
        <f t="shared" si="101"/>
        <v>21.726895361918675</v>
      </c>
      <c r="Z175">
        <v>84</v>
      </c>
    </row>
    <row r="176" spans="1:26" ht="15" customHeight="1" thickBot="1">
      <c r="A176">
        <v>84.5</v>
      </c>
      <c r="B176" t="s">
        <v>167</v>
      </c>
      <c r="C176">
        <v>0.05</v>
      </c>
      <c r="D176">
        <v>100</v>
      </c>
      <c r="E176" s="37">
        <f t="shared" si="85"/>
        <v>84.571428571428569</v>
      </c>
      <c r="F176">
        <v>30</v>
      </c>
      <c r="G176" s="71">
        <f t="shared" si="86"/>
        <v>1.4285714285714286</v>
      </c>
      <c r="H176" s="39">
        <f t="shared" si="87"/>
        <v>100</v>
      </c>
      <c r="I176">
        <v>100</v>
      </c>
      <c r="J176" s="71">
        <f t="shared" si="88"/>
        <v>7.1428571428571438E-2</v>
      </c>
      <c r="K176" s="71">
        <f t="shared" si="89"/>
        <v>84.642857142857139</v>
      </c>
      <c r="L176" s="72">
        <f t="shared" si="90"/>
        <v>20.625331105073126</v>
      </c>
      <c r="M176" s="73">
        <f t="shared" si="91"/>
        <v>0.3763799394079399</v>
      </c>
      <c r="N176" s="73">
        <f t="shared" si="92"/>
        <v>0.93590389329622015</v>
      </c>
      <c r="O176" s="74">
        <f t="shared" si="93"/>
        <v>6.4096106703779867</v>
      </c>
      <c r="P176" s="75">
        <f t="shared" si="94"/>
        <v>1.0684857784681669</v>
      </c>
      <c r="Q176" s="37">
        <f t="shared" si="95"/>
        <v>5.342428892340835E-2</v>
      </c>
      <c r="R176" s="43">
        <f t="shared" si="96"/>
        <v>84.606848577846819</v>
      </c>
      <c r="S176" s="76">
        <f t="shared" si="97"/>
        <v>0.35225545065048647</v>
      </c>
      <c r="T176">
        <v>317</v>
      </c>
      <c r="U176" s="44">
        <f t="shared" si="98"/>
        <v>899.91510256155698</v>
      </c>
      <c r="V176">
        <v>41.5</v>
      </c>
      <c r="W176" s="77">
        <f t="shared" si="99"/>
        <v>253.33648720931842</v>
      </c>
      <c r="X176">
        <f t="shared" si="100"/>
        <v>1.44</v>
      </c>
      <c r="Y176" s="47">
        <f t="shared" si="101"/>
        <v>21.823823329748802</v>
      </c>
      <c r="Z176">
        <v>84.5</v>
      </c>
    </row>
    <row r="177" spans="1:26" ht="15" customHeight="1" thickBot="1">
      <c r="A177">
        <v>85</v>
      </c>
      <c r="B177" t="s">
        <v>167</v>
      </c>
      <c r="C177">
        <v>0.05</v>
      </c>
      <c r="D177">
        <v>100</v>
      </c>
      <c r="E177" s="37">
        <f t="shared" si="85"/>
        <v>85.071428571428569</v>
      </c>
      <c r="F177">
        <v>30</v>
      </c>
      <c r="G177" s="71">
        <f t="shared" si="86"/>
        <v>1.4285714285714286</v>
      </c>
      <c r="H177" s="39">
        <f t="shared" si="87"/>
        <v>100</v>
      </c>
      <c r="I177">
        <v>100</v>
      </c>
      <c r="J177" s="71">
        <f t="shared" si="88"/>
        <v>7.1428571428571438E-2</v>
      </c>
      <c r="K177" s="71">
        <f t="shared" si="89"/>
        <v>85.142857142857139</v>
      </c>
      <c r="L177" s="72">
        <f t="shared" si="90"/>
        <v>20.514231070749119</v>
      </c>
      <c r="M177" s="73">
        <f t="shared" si="91"/>
        <v>0.37416779870613004</v>
      </c>
      <c r="N177" s="73">
        <f t="shared" si="92"/>
        <v>0.93658517832356358</v>
      </c>
      <c r="O177" s="74">
        <f t="shared" si="93"/>
        <v>6.3414821676436475</v>
      </c>
      <c r="P177" s="75">
        <f t="shared" si="94"/>
        <v>1.067708547117888</v>
      </c>
      <c r="Q177" s="37">
        <f t="shared" si="95"/>
        <v>5.3385427355894403E-2</v>
      </c>
      <c r="R177" s="43">
        <f t="shared" si="96"/>
        <v>85.106770854711783</v>
      </c>
      <c r="S177" s="76">
        <f t="shared" si="97"/>
        <v>0.35044001447411599</v>
      </c>
      <c r="T177">
        <v>318</v>
      </c>
      <c r="U177" s="44">
        <f t="shared" si="98"/>
        <v>907.43062112128734</v>
      </c>
      <c r="V177">
        <v>41.5</v>
      </c>
      <c r="W177" s="77">
        <f t="shared" si="99"/>
        <v>254.27903675134266</v>
      </c>
      <c r="X177">
        <f t="shared" si="100"/>
        <v>1.44</v>
      </c>
      <c r="Y177" s="47">
        <f t="shared" si="101"/>
        <v>21.920940733260604</v>
      </c>
      <c r="Z177">
        <v>85</v>
      </c>
    </row>
    <row r="178" spans="1:26" ht="15" customHeight="1" thickBot="1">
      <c r="A178">
        <v>85.5</v>
      </c>
      <c r="B178" t="s">
        <v>167</v>
      </c>
      <c r="C178">
        <v>0.05</v>
      </c>
      <c r="D178">
        <v>100</v>
      </c>
      <c r="E178" s="37">
        <f t="shared" si="85"/>
        <v>85.571428571428569</v>
      </c>
      <c r="F178">
        <v>30</v>
      </c>
      <c r="G178" s="71">
        <f t="shared" si="86"/>
        <v>1.4285714285714286</v>
      </c>
      <c r="H178" s="39">
        <f t="shared" si="87"/>
        <v>100</v>
      </c>
      <c r="I178">
        <v>100</v>
      </c>
      <c r="J178" s="71">
        <f t="shared" si="88"/>
        <v>7.1428571428571438E-2</v>
      </c>
      <c r="K178" s="71">
        <f t="shared" si="89"/>
        <v>85.642857142857139</v>
      </c>
      <c r="L178" s="72">
        <f t="shared" si="90"/>
        <v>20.404270736696944</v>
      </c>
      <c r="M178" s="73">
        <f t="shared" si="91"/>
        <v>0.37198150939816438</v>
      </c>
      <c r="N178" s="73">
        <f t="shared" si="92"/>
        <v>0.93725600699751632</v>
      </c>
      <c r="O178" s="74">
        <f t="shared" si="93"/>
        <v>6.274399300248362</v>
      </c>
      <c r="P178" s="75">
        <f t="shared" si="94"/>
        <v>1.0669443487521439</v>
      </c>
      <c r="Q178" s="37">
        <f t="shared" si="95"/>
        <v>5.3347217437607203E-2</v>
      </c>
      <c r="R178" s="43">
        <f t="shared" si="96"/>
        <v>85.606694434875209</v>
      </c>
      <c r="S178" s="76">
        <f t="shared" si="97"/>
        <v>0.34864190417543262</v>
      </c>
      <c r="T178">
        <v>319</v>
      </c>
      <c r="U178" s="44">
        <f t="shared" si="98"/>
        <v>914.97894022367097</v>
      </c>
      <c r="V178">
        <v>41.5</v>
      </c>
      <c r="W178" s="77">
        <f t="shared" si="99"/>
        <v>255.22219624918901</v>
      </c>
      <c r="X178">
        <f t="shared" si="100"/>
        <v>1.44</v>
      </c>
      <c r="Y178" s="47">
        <f t="shared" si="101"/>
        <v>22.018244250707134</v>
      </c>
      <c r="Z178">
        <v>85.5</v>
      </c>
    </row>
    <row r="179" spans="1:26" ht="15" customHeight="1" thickBot="1">
      <c r="A179">
        <v>86</v>
      </c>
      <c r="B179" t="s">
        <v>167</v>
      </c>
      <c r="C179">
        <v>0.05</v>
      </c>
      <c r="D179">
        <v>100</v>
      </c>
      <c r="E179" s="37">
        <f t="shared" si="85"/>
        <v>86.071428571428569</v>
      </c>
      <c r="F179">
        <v>30</v>
      </c>
      <c r="G179" s="71">
        <f t="shared" si="86"/>
        <v>1.4285714285714286</v>
      </c>
      <c r="H179" s="39">
        <f t="shared" si="87"/>
        <v>100</v>
      </c>
      <c r="I179">
        <v>100</v>
      </c>
      <c r="J179" s="71">
        <f t="shared" si="88"/>
        <v>7.1428571428571438E-2</v>
      </c>
      <c r="K179" s="71">
        <f t="shared" si="89"/>
        <v>86.142857142857139</v>
      </c>
      <c r="L179" s="72">
        <f t="shared" si="90"/>
        <v>20.295433452977171</v>
      </c>
      <c r="M179" s="73">
        <f t="shared" si="91"/>
        <v>0.36982062096182644</v>
      </c>
      <c r="N179" s="73">
        <f t="shared" si="92"/>
        <v>0.93791658494471331</v>
      </c>
      <c r="O179" s="74">
        <f t="shared" si="93"/>
        <v>6.208341505528665</v>
      </c>
      <c r="P179" s="75">
        <f t="shared" si="94"/>
        <v>1.0661928960974139</v>
      </c>
      <c r="Q179" s="37">
        <f t="shared" si="95"/>
        <v>5.3309644804870694E-2</v>
      </c>
      <c r="R179" s="43">
        <f t="shared" si="96"/>
        <v>86.106619289609739</v>
      </c>
      <c r="S179" s="76">
        <f t="shared" si="97"/>
        <v>0.34686089385464952</v>
      </c>
      <c r="T179">
        <v>320</v>
      </c>
      <c r="U179" s="44">
        <f t="shared" si="98"/>
        <v>922.56003968580717</v>
      </c>
      <c r="V179">
        <v>41.5</v>
      </c>
      <c r="W179" s="77">
        <f t="shared" si="99"/>
        <v>256.16595645768467</v>
      </c>
      <c r="X179">
        <f t="shared" si="100"/>
        <v>1.44</v>
      </c>
      <c r="Y179" s="47">
        <f t="shared" si="101"/>
        <v>22.115730637562439</v>
      </c>
      <c r="Z179">
        <v>86</v>
      </c>
    </row>
    <row r="180" spans="1:26" ht="15" customHeight="1" thickBot="1">
      <c r="A180">
        <v>86.5</v>
      </c>
      <c r="B180" t="s">
        <v>167</v>
      </c>
      <c r="C180">
        <v>0.05</v>
      </c>
      <c r="D180">
        <v>100</v>
      </c>
      <c r="E180" s="37">
        <f t="shared" si="85"/>
        <v>86.571428571428569</v>
      </c>
      <c r="F180">
        <v>30</v>
      </c>
      <c r="G180" s="71">
        <f t="shared" si="86"/>
        <v>1.4285714285714286</v>
      </c>
      <c r="H180" s="39">
        <f t="shared" si="87"/>
        <v>100</v>
      </c>
      <c r="I180">
        <v>100</v>
      </c>
      <c r="J180" s="71">
        <f t="shared" si="88"/>
        <v>7.1428571428571438E-2</v>
      </c>
      <c r="K180" s="71">
        <f t="shared" si="89"/>
        <v>86.642857142857139</v>
      </c>
      <c r="L180" s="72">
        <f t="shared" si="90"/>
        <v>20.18770287559563</v>
      </c>
      <c r="M180" s="73">
        <f t="shared" si="91"/>
        <v>0.36768469328300402</v>
      </c>
      <c r="N180" s="73">
        <f t="shared" si="92"/>
        <v>0.93856711295053108</v>
      </c>
      <c r="O180" s="74">
        <f t="shared" si="93"/>
        <v>6.1432887049468974</v>
      </c>
      <c r="P180" s="75">
        <f t="shared" si="94"/>
        <v>1.0654539096904272</v>
      </c>
      <c r="Q180" s="37">
        <f t="shared" si="95"/>
        <v>5.3272695484521362E-2</v>
      </c>
      <c r="R180" s="43">
        <f t="shared" si="96"/>
        <v>86.606545390969046</v>
      </c>
      <c r="S180" s="76">
        <f t="shared" si="97"/>
        <v>0.34509676105073056</v>
      </c>
      <c r="T180">
        <v>321</v>
      </c>
      <c r="U180" s="44">
        <f t="shared" si="98"/>
        <v>930.17389969884925</v>
      </c>
      <c r="V180">
        <v>41.5</v>
      </c>
      <c r="W180" s="77">
        <f t="shared" si="99"/>
        <v>257.11030830945475</v>
      </c>
      <c r="X180">
        <f t="shared" si="100"/>
        <v>1.44</v>
      </c>
      <c r="Y180" s="47">
        <f t="shared" si="101"/>
        <v>22.213396724290245</v>
      </c>
      <c r="Z180">
        <v>86.5</v>
      </c>
    </row>
    <row r="181" spans="1:26" ht="15" customHeight="1" thickBot="1">
      <c r="A181">
        <v>87</v>
      </c>
      <c r="B181" t="s">
        <v>167</v>
      </c>
      <c r="C181">
        <v>0.05</v>
      </c>
      <c r="D181">
        <v>100</v>
      </c>
      <c r="E181" s="37">
        <f t="shared" si="85"/>
        <v>87.071428571428569</v>
      </c>
      <c r="F181">
        <v>30</v>
      </c>
      <c r="G181" s="71">
        <f t="shared" si="86"/>
        <v>1.4285714285714286</v>
      </c>
      <c r="H181" s="39">
        <f t="shared" si="87"/>
        <v>100</v>
      </c>
      <c r="I181">
        <v>100</v>
      </c>
      <c r="J181" s="71">
        <f t="shared" si="88"/>
        <v>7.1428571428571438E-2</v>
      </c>
      <c r="K181" s="71">
        <f t="shared" si="89"/>
        <v>87.142857142857139</v>
      </c>
      <c r="L181" s="72">
        <f t="shared" si="90"/>
        <v>20.081062959955233</v>
      </c>
      <c r="M181" s="73">
        <f t="shared" si="91"/>
        <v>0.3655732963568506</v>
      </c>
      <c r="N181" s="73">
        <f t="shared" si="92"/>
        <v>0.93920778708935204</v>
      </c>
      <c r="O181" s="74">
        <f t="shared" si="93"/>
        <v>6.0792212910647976</v>
      </c>
      <c r="P181" s="75">
        <f t="shared" si="94"/>
        <v>1.0647271176264901</v>
      </c>
      <c r="Q181" s="37">
        <f t="shared" si="95"/>
        <v>5.3236355881324506E-2</v>
      </c>
      <c r="R181" s="43">
        <f t="shared" si="96"/>
        <v>87.106472711762649</v>
      </c>
      <c r="S181" s="76">
        <f t="shared" si="97"/>
        <v>0.34334928669027753</v>
      </c>
      <c r="T181">
        <v>322</v>
      </c>
      <c r="U181" s="44">
        <f t="shared" si="98"/>
        <v>937.82050081980822</v>
      </c>
      <c r="V181">
        <v>41.5</v>
      </c>
      <c r="W181" s="77">
        <f t="shared" si="99"/>
        <v>258.05524291086937</v>
      </c>
      <c r="X181">
        <f t="shared" si="100"/>
        <v>1.44</v>
      </c>
      <c r="Y181" s="47">
        <f t="shared" si="101"/>
        <v>22.311239414189526</v>
      </c>
      <c r="Z181">
        <v>87</v>
      </c>
    </row>
    <row r="182" spans="1:26" ht="15" customHeight="1" thickBot="1">
      <c r="A182">
        <v>87.5</v>
      </c>
      <c r="B182" t="s">
        <v>167</v>
      </c>
      <c r="C182">
        <v>0.05</v>
      </c>
      <c r="D182">
        <v>100</v>
      </c>
      <c r="E182" s="37">
        <f t="shared" si="85"/>
        <v>87.571428571428569</v>
      </c>
      <c r="F182">
        <v>30</v>
      </c>
      <c r="G182" s="71">
        <f t="shared" si="86"/>
        <v>1.4285714285714286</v>
      </c>
      <c r="H182" s="39">
        <f t="shared" si="87"/>
        <v>100</v>
      </c>
      <c r="I182">
        <v>100</v>
      </c>
      <c r="J182" s="71">
        <f t="shared" si="88"/>
        <v>7.1428571428571438E-2</v>
      </c>
      <c r="K182" s="71">
        <f t="shared" si="89"/>
        <v>87.642857142857139</v>
      </c>
      <c r="L182" s="72">
        <f t="shared" si="90"/>
        <v>19.975497954460717</v>
      </c>
      <c r="M182" s="73">
        <f t="shared" si="91"/>
        <v>0.36348600999918501</v>
      </c>
      <c r="N182" s="73">
        <f t="shared" si="92"/>
        <v>0.93983879885097055</v>
      </c>
      <c r="O182" s="74">
        <f t="shared" si="93"/>
        <v>6.0161201149029466</v>
      </c>
      <c r="P182" s="75">
        <f t="shared" si="94"/>
        <v>1.0640122553171687</v>
      </c>
      <c r="Q182" s="37">
        <f t="shared" si="95"/>
        <v>5.320061276585844E-2</v>
      </c>
      <c r="R182" s="43">
        <f t="shared" si="96"/>
        <v>87.606401225531712</v>
      </c>
      <c r="S182" s="76">
        <f t="shared" si="97"/>
        <v>0.34161825503676591</v>
      </c>
      <c r="T182">
        <v>323</v>
      </c>
      <c r="U182" s="44">
        <f t="shared" si="98"/>
        <v>945.4998239635579</v>
      </c>
      <c r="V182">
        <v>41.5</v>
      </c>
      <c r="W182" s="77">
        <f t="shared" si="99"/>
        <v>259.00075153809559</v>
      </c>
      <c r="X182">
        <f t="shared" si="100"/>
        <v>1.44</v>
      </c>
      <c r="Y182" s="47">
        <f t="shared" si="101"/>
        <v>22.409255681314079</v>
      </c>
      <c r="Z182">
        <v>87.5</v>
      </c>
    </row>
    <row r="183" spans="1:26" ht="15" customHeight="1" thickBot="1">
      <c r="A183">
        <v>88</v>
      </c>
      <c r="B183" t="s">
        <v>167</v>
      </c>
      <c r="C183">
        <v>0.05</v>
      </c>
      <c r="D183">
        <v>100</v>
      </c>
      <c r="E183" s="37">
        <f t="shared" si="85"/>
        <v>88.071428571428569</v>
      </c>
      <c r="F183">
        <v>30</v>
      </c>
      <c r="G183" s="71">
        <f t="shared" si="86"/>
        <v>1.4285714285714286</v>
      </c>
      <c r="H183" s="39">
        <f t="shared" si="87"/>
        <v>100</v>
      </c>
      <c r="I183">
        <v>100</v>
      </c>
      <c r="J183" s="71">
        <f t="shared" si="88"/>
        <v>7.1428571428571438E-2</v>
      </c>
      <c r="K183" s="71">
        <f t="shared" si="89"/>
        <v>88.142857142857139</v>
      </c>
      <c r="L183" s="72">
        <f t="shared" si="90"/>
        <v>19.8709923942728</v>
      </c>
      <c r="M183" s="73">
        <f t="shared" si="91"/>
        <v>0.3614224235677217</v>
      </c>
      <c r="N183" s="73">
        <f t="shared" si="92"/>
        <v>0.940460335263264</v>
      </c>
      <c r="O183" s="74">
        <f t="shared" si="93"/>
        <v>5.9539664736736029</v>
      </c>
      <c r="P183" s="75">
        <f t="shared" si="94"/>
        <v>1.0633090652569297</v>
      </c>
      <c r="Q183" s="37">
        <f t="shared" si="95"/>
        <v>5.3165453262846489E-2</v>
      </c>
      <c r="R183" s="43">
        <f t="shared" si="96"/>
        <v>88.106330906525699</v>
      </c>
      <c r="S183" s="76">
        <f t="shared" si="97"/>
        <v>0.33990345364016095</v>
      </c>
      <c r="T183">
        <v>324</v>
      </c>
      <c r="U183" s="44">
        <f t="shared" si="98"/>
        <v>953.21185039503257</v>
      </c>
      <c r="V183">
        <v>41.5</v>
      </c>
      <c r="W183" s="77">
        <f t="shared" si="99"/>
        <v>259.94682563324955</v>
      </c>
      <c r="X183">
        <f t="shared" si="100"/>
        <v>1.44</v>
      </c>
      <c r="Y183" s="47">
        <f t="shared" si="101"/>
        <v>22.507442568462832</v>
      </c>
      <c r="Z183">
        <v>88</v>
      </c>
    </row>
    <row r="184" spans="1:26" ht="15" customHeight="1" thickBot="1">
      <c r="A184">
        <v>88.5</v>
      </c>
      <c r="B184" t="s">
        <v>167</v>
      </c>
      <c r="C184">
        <v>0.05</v>
      </c>
      <c r="D184">
        <v>100</v>
      </c>
      <c r="E184" s="37">
        <f t="shared" si="85"/>
        <v>88.571428571428569</v>
      </c>
      <c r="F184">
        <v>30</v>
      </c>
      <c r="G184" s="71">
        <f t="shared" si="86"/>
        <v>1.4285714285714286</v>
      </c>
      <c r="H184" s="39">
        <f t="shared" si="87"/>
        <v>100</v>
      </c>
      <c r="I184">
        <v>100</v>
      </c>
      <c r="J184" s="71">
        <f t="shared" si="88"/>
        <v>7.1428571428571438E-2</v>
      </c>
      <c r="K184" s="71">
        <f t="shared" si="89"/>
        <v>88.642857142857139</v>
      </c>
      <c r="L184" s="72">
        <f t="shared" si="90"/>
        <v>19.767531095208074</v>
      </c>
      <c r="M184" s="73">
        <f t="shared" si="91"/>
        <v>0.35938213569274263</v>
      </c>
      <c r="N184" s="73">
        <f t="shared" si="92"/>
        <v>0.94107257901124464</v>
      </c>
      <c r="O184" s="74">
        <f t="shared" si="93"/>
        <v>5.8927420988755301</v>
      </c>
      <c r="P184" s="75">
        <f t="shared" si="94"/>
        <v>1.0626172967983707</v>
      </c>
      <c r="Q184" s="37">
        <f t="shared" si="95"/>
        <v>5.3130864839918537E-2</v>
      </c>
      <c r="R184" s="43">
        <f t="shared" si="96"/>
        <v>88.606261729679844</v>
      </c>
      <c r="S184" s="76">
        <f t="shared" si="97"/>
        <v>0.33820467328693832</v>
      </c>
      <c r="T184">
        <v>325</v>
      </c>
      <c r="U184" s="44">
        <f t="shared" si="98"/>
        <v>960.95656172161978</v>
      </c>
      <c r="V184">
        <v>41.5</v>
      </c>
      <c r="W184" s="77">
        <f t="shared" si="99"/>
        <v>260.89345680064866</v>
      </c>
      <c r="X184">
        <f t="shared" si="100"/>
        <v>1.44</v>
      </c>
      <c r="Y184" s="47">
        <f t="shared" si="101"/>
        <v>22.605797185238426</v>
      </c>
      <c r="Z184">
        <v>88.5</v>
      </c>
    </row>
    <row r="185" spans="1:26" ht="15" customHeight="1" thickBot="1">
      <c r="A185">
        <v>89</v>
      </c>
      <c r="B185" t="s">
        <v>167</v>
      </c>
      <c r="C185">
        <v>0.05</v>
      </c>
      <c r="D185">
        <v>100</v>
      </c>
      <c r="E185" s="37">
        <f t="shared" si="85"/>
        <v>89.071428571428569</v>
      </c>
      <c r="F185">
        <v>30</v>
      </c>
      <c r="G185" s="71">
        <f t="shared" si="86"/>
        <v>1.4285714285714286</v>
      </c>
      <c r="H185" s="39">
        <f t="shared" si="87"/>
        <v>100</v>
      </c>
      <c r="I185">
        <v>100</v>
      </c>
      <c r="J185" s="71">
        <f t="shared" si="88"/>
        <v>7.1428571428571438E-2</v>
      </c>
      <c r="K185" s="71">
        <f t="shared" si="89"/>
        <v>89.142857142857139</v>
      </c>
      <c r="L185" s="72">
        <f t="shared" si="90"/>
        <v>19.665099147781405</v>
      </c>
      <c r="M185" s="73">
        <f t="shared" si="91"/>
        <v>0.35736475401684115</v>
      </c>
      <c r="N185" s="73">
        <f t="shared" si="92"/>
        <v>0.94167570855260652</v>
      </c>
      <c r="O185" s="74">
        <f t="shared" si="93"/>
        <v>5.8324291447393506</v>
      </c>
      <c r="P185" s="75">
        <f t="shared" si="94"/>
        <v>1.0619367059356775</v>
      </c>
      <c r="Q185" s="37">
        <f t="shared" si="95"/>
        <v>5.3096835296783877E-2</v>
      </c>
      <c r="R185" s="43">
        <f t="shared" si="96"/>
        <v>89.106193670593569</v>
      </c>
      <c r="S185" s="76">
        <f t="shared" si="97"/>
        <v>0.33652170795053687</v>
      </c>
      <c r="T185">
        <v>326</v>
      </c>
      <c r="U185" s="44">
        <f t="shared" si="98"/>
        <v>968.73393988573423</v>
      </c>
      <c r="V185">
        <v>41.5</v>
      </c>
      <c r="W185" s="77">
        <f t="shared" si="99"/>
        <v>261.84063680315808</v>
      </c>
      <c r="X185">
        <f t="shared" si="100"/>
        <v>1.44</v>
      </c>
      <c r="Y185" s="47">
        <f t="shared" si="101"/>
        <v>22.704316706171173</v>
      </c>
      <c r="Z185">
        <v>89</v>
      </c>
    </row>
    <row r="186" spans="1:26" ht="15" customHeight="1" thickBot="1">
      <c r="A186">
        <v>89.5</v>
      </c>
      <c r="B186" t="s">
        <v>167</v>
      </c>
      <c r="C186">
        <v>0.05</v>
      </c>
      <c r="D186">
        <v>100</v>
      </c>
      <c r="E186" s="37">
        <f t="shared" si="85"/>
        <v>89.571428571428569</v>
      </c>
      <c r="F186">
        <v>30</v>
      </c>
      <c r="G186" s="71">
        <f t="shared" si="86"/>
        <v>1.4285714285714286</v>
      </c>
      <c r="H186" s="39">
        <f t="shared" si="87"/>
        <v>100</v>
      </c>
      <c r="I186">
        <v>100</v>
      </c>
      <c r="J186" s="71">
        <f t="shared" si="88"/>
        <v>7.1428571428571438E-2</v>
      </c>
      <c r="K186" s="71">
        <f t="shared" si="89"/>
        <v>89.642857142857139</v>
      </c>
      <c r="L186" s="72">
        <f t="shared" si="90"/>
        <v>19.563681911387242</v>
      </c>
      <c r="M186" s="73">
        <f t="shared" si="91"/>
        <v>0.35536989494338184</v>
      </c>
      <c r="N186" s="73">
        <f t="shared" si="92"/>
        <v>0.94226989822987717</v>
      </c>
      <c r="O186" s="74">
        <f t="shared" si="93"/>
        <v>5.7730101770122815</v>
      </c>
      <c r="P186" s="75">
        <f t="shared" si="94"/>
        <v>1.0612670550959689</v>
      </c>
      <c r="Q186" s="37">
        <f t="shared" si="95"/>
        <v>5.3063352754798447E-2</v>
      </c>
      <c r="R186" s="43">
        <f t="shared" si="96"/>
        <v>89.606126705509595</v>
      </c>
      <c r="S186" s="76">
        <f t="shared" si="97"/>
        <v>0.33485435474226255</v>
      </c>
      <c r="T186">
        <v>327</v>
      </c>
      <c r="U186" s="44">
        <f t="shared" si="98"/>
        <v>976.54396715757798</v>
      </c>
      <c r="V186">
        <v>41.5</v>
      </c>
      <c r="W186" s="77">
        <f t="shared" si="99"/>
        <v>262.78835755863167</v>
      </c>
      <c r="X186">
        <f t="shared" si="100"/>
        <v>1.44</v>
      </c>
      <c r="Y186" s="47">
        <f t="shared" si="101"/>
        <v>22.802998368905804</v>
      </c>
      <c r="Z186">
        <v>89.5</v>
      </c>
    </row>
    <row r="187" spans="1:26" ht="15" customHeight="1" thickBot="1">
      <c r="A187">
        <v>90</v>
      </c>
      <c r="B187" t="s">
        <v>167</v>
      </c>
      <c r="C187">
        <v>0.05</v>
      </c>
      <c r="D187">
        <v>100</v>
      </c>
      <c r="E187" s="37">
        <f t="shared" si="85"/>
        <v>90.071428571428569</v>
      </c>
      <c r="F187">
        <v>30</v>
      </c>
      <c r="G187" s="71">
        <f t="shared" si="86"/>
        <v>1.4285714285714286</v>
      </c>
      <c r="H187" s="39">
        <f t="shared" si="87"/>
        <v>100</v>
      </c>
      <c r="I187">
        <v>100</v>
      </c>
      <c r="J187" s="71">
        <f t="shared" si="88"/>
        <v>7.1428571428571438E-2</v>
      </c>
      <c r="K187" s="71">
        <f t="shared" si="89"/>
        <v>90.142857142857139</v>
      </c>
      <c r="L187" s="72">
        <f t="shared" si="90"/>
        <v>19.463265008616762</v>
      </c>
      <c r="M187" s="73">
        <f t="shared" si="91"/>
        <v>0.35339718339333931</v>
      </c>
      <c r="N187" s="73">
        <f t="shared" si="92"/>
        <v>0.94285531837927905</v>
      </c>
      <c r="O187" s="74">
        <f t="shared" si="93"/>
        <v>5.7144681620720945</v>
      </c>
      <c r="P187" s="75">
        <f t="shared" si="94"/>
        <v>1.0606081129382074</v>
      </c>
      <c r="Q187" s="37">
        <f t="shared" si="95"/>
        <v>5.3030405646910375E-2</v>
      </c>
      <c r="R187" s="43">
        <f t="shared" si="96"/>
        <v>90.106060811293816</v>
      </c>
      <c r="S187" s="76">
        <f t="shared" si="97"/>
        <v>0.33320241386266741</v>
      </c>
      <c r="T187">
        <v>328</v>
      </c>
      <c r="U187" s="44">
        <f t="shared" si="98"/>
        <v>984.38662612806991</v>
      </c>
      <c r="V187">
        <v>41.5</v>
      </c>
      <c r="W187" s="77">
        <f t="shared" si="99"/>
        <v>263.73661113644266</v>
      </c>
      <c r="X187">
        <f t="shared" si="100"/>
        <v>1.44</v>
      </c>
      <c r="Y187" s="47">
        <f t="shared" si="101"/>
        <v>22.90183947244882</v>
      </c>
      <c r="Z187">
        <v>90</v>
      </c>
    </row>
    <row r="188" spans="1:26" ht="15" customHeight="1" thickBot="1">
      <c r="A188">
        <v>90.5</v>
      </c>
      <c r="B188" t="s">
        <v>167</v>
      </c>
      <c r="C188">
        <v>0.05</v>
      </c>
      <c r="D188">
        <v>100</v>
      </c>
      <c r="E188" s="37">
        <f t="shared" si="85"/>
        <v>90.571428571428569</v>
      </c>
      <c r="F188">
        <v>30</v>
      </c>
      <c r="G188" s="71">
        <f t="shared" si="86"/>
        <v>1.4285714285714286</v>
      </c>
      <c r="H188" s="39">
        <f t="shared" si="87"/>
        <v>100</v>
      </c>
      <c r="I188">
        <v>100</v>
      </c>
      <c r="J188" s="71">
        <f t="shared" si="88"/>
        <v>7.1428571428571438E-2</v>
      </c>
      <c r="K188" s="71">
        <f t="shared" si="89"/>
        <v>90.642857142857139</v>
      </c>
      <c r="L188" s="72">
        <f t="shared" si="90"/>
        <v>19.363834319707351</v>
      </c>
      <c r="M188" s="73">
        <f t="shared" si="91"/>
        <v>0.35144625257018997</v>
      </c>
      <c r="N188" s="73">
        <f t="shared" si="92"/>
        <v>0.94343213543640669</v>
      </c>
      <c r="O188" s="74">
        <f t="shared" si="93"/>
        <v>5.6567864563593275</v>
      </c>
      <c r="P188" s="75">
        <f t="shared" si="94"/>
        <v>1.0599596541593599</v>
      </c>
      <c r="Q188" s="37">
        <f t="shared" si="95"/>
        <v>5.2997982707967996E-2</v>
      </c>
      <c r="R188" s="43">
        <f t="shared" si="96"/>
        <v>90.605995965415943</v>
      </c>
      <c r="S188" s="76">
        <f t="shared" si="97"/>
        <v>0.33156568855341711</v>
      </c>
      <c r="T188">
        <v>329</v>
      </c>
      <c r="U188" s="44">
        <f t="shared" si="98"/>
        <v>992.26189970195378</v>
      </c>
      <c r="V188">
        <v>41.5</v>
      </c>
      <c r="W188" s="77">
        <f t="shared" si="99"/>
        <v>264.68538975410257</v>
      </c>
      <c r="X188">
        <f t="shared" si="100"/>
        <v>1.44</v>
      </c>
      <c r="Y188" s="47">
        <f t="shared" si="101"/>
        <v>23.000837375473846</v>
      </c>
      <c r="Z188">
        <v>90.5</v>
      </c>
    </row>
    <row r="189" spans="1:26" ht="15" customHeight="1" thickBot="1">
      <c r="A189">
        <v>91</v>
      </c>
      <c r="B189" t="s">
        <v>167</v>
      </c>
      <c r="C189">
        <v>0.05</v>
      </c>
      <c r="D189">
        <v>100</v>
      </c>
      <c r="E189" s="37">
        <f t="shared" si="85"/>
        <v>91.071428571428569</v>
      </c>
      <c r="F189">
        <v>30</v>
      </c>
      <c r="G189" s="71">
        <f t="shared" si="86"/>
        <v>1.4285714285714286</v>
      </c>
      <c r="H189" s="39">
        <f t="shared" si="87"/>
        <v>100</v>
      </c>
      <c r="I189">
        <v>100</v>
      </c>
      <c r="J189" s="71">
        <f t="shared" si="88"/>
        <v>7.1428571428571438E-2</v>
      </c>
      <c r="K189" s="71">
        <f t="shared" si="89"/>
        <v>91.142857142857139</v>
      </c>
      <c r="L189" s="72">
        <f t="shared" si="90"/>
        <v>19.265375977121504</v>
      </c>
      <c r="M189" s="73">
        <f t="shared" si="91"/>
        <v>0.34951674373254965</v>
      </c>
      <c r="N189" s="73">
        <f t="shared" si="92"/>
        <v>0.94400051203881541</v>
      </c>
      <c r="O189" s="74">
        <f t="shared" si="93"/>
        <v>5.5999487961184542</v>
      </c>
      <c r="P189" s="75">
        <f t="shared" si="94"/>
        <v>1.0593214593075158</v>
      </c>
      <c r="Q189" s="37">
        <f t="shared" si="95"/>
        <v>5.2966072965375789E-2</v>
      </c>
      <c r="R189" s="43">
        <f t="shared" si="96"/>
        <v>91.105932145930751</v>
      </c>
      <c r="S189" s="76">
        <f t="shared" si="97"/>
        <v>0.32994398504966621</v>
      </c>
      <c r="T189">
        <v>330</v>
      </c>
      <c r="U189" s="44">
        <f t="shared" si="98"/>
        <v>1000.1697710910697</v>
      </c>
      <c r="V189">
        <v>41.5</v>
      </c>
      <c r="W189" s="77">
        <f t="shared" si="99"/>
        <v>265.63468577396645</v>
      </c>
      <c r="X189">
        <f t="shared" si="100"/>
        <v>1.44</v>
      </c>
      <c r="Y189" s="47">
        <f t="shared" si="101"/>
        <v>23.099989494682816</v>
      </c>
      <c r="Z189">
        <v>91</v>
      </c>
    </row>
    <row r="190" spans="1:26" ht="15" customHeight="1" thickBot="1">
      <c r="A190">
        <v>91.5</v>
      </c>
      <c r="B190" t="s">
        <v>167</v>
      </c>
      <c r="C190">
        <v>0.05</v>
      </c>
      <c r="D190">
        <v>100</v>
      </c>
      <c r="E190" s="37">
        <f t="shared" si="85"/>
        <v>91.571428571428569</v>
      </c>
      <c r="F190">
        <v>30</v>
      </c>
      <c r="G190" s="71">
        <f t="shared" si="86"/>
        <v>1.4285714285714286</v>
      </c>
      <c r="H190" s="39">
        <f t="shared" si="87"/>
        <v>100</v>
      </c>
      <c r="I190">
        <v>100</v>
      </c>
      <c r="J190" s="71">
        <f t="shared" si="88"/>
        <v>7.1428571428571438E-2</v>
      </c>
      <c r="K190" s="71">
        <f t="shared" si="89"/>
        <v>91.642857142857139</v>
      </c>
      <c r="L190" s="72">
        <f t="shared" si="90"/>
        <v>19.167876360251878</v>
      </c>
      <c r="M190" s="73">
        <f t="shared" si="91"/>
        <v>0.34760830597425962</v>
      </c>
      <c r="N190" s="73">
        <f t="shared" si="92"/>
        <v>0.94456060712562084</v>
      </c>
      <c r="O190" s="74">
        <f t="shared" si="93"/>
        <v>5.5439392874379223</v>
      </c>
      <c r="P190" s="75">
        <f t="shared" si="94"/>
        <v>1.0586933146016815</v>
      </c>
      <c r="Q190" s="37">
        <f t="shared" si="95"/>
        <v>5.2934665730084075E-2</v>
      </c>
      <c r="R190" s="43">
        <f t="shared" si="96"/>
        <v>91.60586933146017</v>
      </c>
      <c r="S190" s="76">
        <f t="shared" si="97"/>
        <v>0.32833711253295528</v>
      </c>
      <c r="T190">
        <v>331</v>
      </c>
      <c r="U190" s="44">
        <f t="shared" si="98"/>
        <v>1008.1102238077867</v>
      </c>
      <c r="V190">
        <v>41.5</v>
      </c>
      <c r="W190" s="77">
        <f t="shared" si="99"/>
        <v>266.58449170002012</v>
      </c>
      <c r="X190">
        <f t="shared" si="100"/>
        <v>1.44</v>
      </c>
      <c r="Y190" s="47">
        <f t="shared" si="101"/>
        <v>23.199293303220937</v>
      </c>
      <c r="Z190">
        <v>91.5</v>
      </c>
    </row>
    <row r="191" spans="1:26" ht="15" customHeight="1" thickBot="1">
      <c r="A191">
        <v>92</v>
      </c>
      <c r="B191" t="s">
        <v>167</v>
      </c>
      <c r="C191">
        <v>0.05</v>
      </c>
      <c r="D191">
        <v>100</v>
      </c>
      <c r="E191" s="37">
        <f t="shared" si="85"/>
        <v>92.071428571428569</v>
      </c>
      <c r="F191">
        <v>30</v>
      </c>
      <c r="G191" s="71">
        <f t="shared" si="86"/>
        <v>1.4285714285714286</v>
      </c>
      <c r="H191" s="39">
        <f t="shared" si="87"/>
        <v>100</v>
      </c>
      <c r="I191">
        <v>100</v>
      </c>
      <c r="J191" s="71">
        <f t="shared" si="88"/>
        <v>7.1428571428571438E-2</v>
      </c>
      <c r="K191" s="71">
        <f t="shared" si="89"/>
        <v>92.142857142857139</v>
      </c>
      <c r="L191" s="72">
        <f t="shared" si="90"/>
        <v>19.071322090249467</v>
      </c>
      <c r="M191" s="73">
        <f t="shared" si="91"/>
        <v>0.34572059601163763</v>
      </c>
      <c r="N191" s="73">
        <f t="shared" si="92"/>
        <v>0.94511257603420229</v>
      </c>
      <c r="O191" s="74">
        <f t="shared" si="93"/>
        <v>5.4887423965797666</v>
      </c>
      <c r="P191" s="75">
        <f t="shared" si="94"/>
        <v>1.0580750117579765</v>
      </c>
      <c r="Q191" s="37">
        <f t="shared" si="95"/>
        <v>5.2903750587898826E-2</v>
      </c>
      <c r="R191" s="43">
        <f t="shared" si="96"/>
        <v>92.105807501175804</v>
      </c>
      <c r="S191" s="76">
        <f t="shared" si="97"/>
        <v>0.32674488308463856</v>
      </c>
      <c r="T191">
        <v>332</v>
      </c>
      <c r="U191" s="44">
        <f t="shared" si="98"/>
        <v>1016.0832416586006</v>
      </c>
      <c r="V191">
        <v>41.5</v>
      </c>
      <c r="W191" s="77">
        <f t="shared" si="99"/>
        <v>267.53480017474965</v>
      </c>
      <c r="X191">
        <f t="shared" si="100"/>
        <v>1.44</v>
      </c>
      <c r="Y191" s="47">
        <f t="shared" si="101"/>
        <v>23.298746329143295</v>
      </c>
      <c r="Z191">
        <v>92</v>
      </c>
    </row>
    <row r="192" spans="1:26" ht="15" customHeight="1" thickBot="1">
      <c r="A192">
        <v>92.5</v>
      </c>
      <c r="B192" t="s">
        <v>167</v>
      </c>
      <c r="C192">
        <v>0.05</v>
      </c>
      <c r="D192">
        <v>100</v>
      </c>
      <c r="E192" s="37">
        <f t="shared" si="85"/>
        <v>92.571428571428569</v>
      </c>
      <c r="F192">
        <v>30</v>
      </c>
      <c r="G192" s="71">
        <f t="shared" si="86"/>
        <v>1.4285714285714286</v>
      </c>
      <c r="H192" s="39">
        <f t="shared" si="87"/>
        <v>100</v>
      </c>
      <c r="I192">
        <v>100</v>
      </c>
      <c r="J192" s="71">
        <f t="shared" si="88"/>
        <v>7.1428571428571438E-2</v>
      </c>
      <c r="K192" s="71">
        <f t="shared" si="89"/>
        <v>92.642857142857139</v>
      </c>
      <c r="L192" s="72">
        <f t="shared" si="90"/>
        <v>18.97570002497206</v>
      </c>
      <c r="M192" s="73">
        <f t="shared" si="91"/>
        <v>0.34385327797762416</v>
      </c>
      <c r="N192" s="73">
        <f t="shared" si="92"/>
        <v>0.94565657059409858</v>
      </c>
      <c r="O192" s="74">
        <f t="shared" si="93"/>
        <v>5.4343429405901418</v>
      </c>
      <c r="P192" s="75">
        <f t="shared" si="94"/>
        <v>1.0574663478219801</v>
      </c>
      <c r="Q192" s="37">
        <f t="shared" si="95"/>
        <v>5.287331739109901E-2</v>
      </c>
      <c r="R192" s="43">
        <f t="shared" si="96"/>
        <v>92.605746634782193</v>
      </c>
      <c r="S192" s="76">
        <f t="shared" si="97"/>
        <v>0.32516711163985929</v>
      </c>
      <c r="T192">
        <v>333</v>
      </c>
      <c r="U192" s="44">
        <f t="shared" si="98"/>
        <v>1024.0888087378778</v>
      </c>
      <c r="V192">
        <v>41.5</v>
      </c>
      <c r="W192" s="77">
        <f t="shared" si="99"/>
        <v>268.48560397608884</v>
      </c>
      <c r="X192">
        <f t="shared" si="100"/>
        <v>1.44</v>
      </c>
      <c r="Y192" s="47">
        <f t="shared" si="101"/>
        <v>23.398346153931264</v>
      </c>
      <c r="Z192">
        <v>92.5</v>
      </c>
    </row>
    <row r="193" spans="1:26" ht="15" customHeight="1" thickBot="1">
      <c r="A193">
        <v>93</v>
      </c>
      <c r="B193" t="s">
        <v>167</v>
      </c>
      <c r="C193">
        <v>0.05</v>
      </c>
      <c r="D193">
        <v>100</v>
      </c>
      <c r="E193" s="37">
        <f t="shared" si="85"/>
        <v>93.071428571428569</v>
      </c>
      <c r="F193">
        <v>30</v>
      </c>
      <c r="G193" s="71">
        <f t="shared" si="86"/>
        <v>1.4285714285714286</v>
      </c>
      <c r="H193" s="39">
        <f t="shared" si="87"/>
        <v>100</v>
      </c>
      <c r="I193">
        <v>100</v>
      </c>
      <c r="J193" s="71">
        <f t="shared" si="88"/>
        <v>7.1428571428571438E-2</v>
      </c>
      <c r="K193" s="71">
        <f t="shared" si="89"/>
        <v>93.142857142857139</v>
      </c>
      <c r="L193" s="72">
        <f t="shared" si="90"/>
        <v>18.880997254049905</v>
      </c>
      <c r="M193" s="73">
        <f t="shared" si="91"/>
        <v>0.34200602322256396</v>
      </c>
      <c r="N193" s="73">
        <f t="shared" si="92"/>
        <v>0.94619273921818559</v>
      </c>
      <c r="O193" s="74">
        <f t="shared" si="93"/>
        <v>5.3807260781814392</v>
      </c>
      <c r="P193" s="75">
        <f t="shared" si="94"/>
        <v>1.0568671250069768</v>
      </c>
      <c r="Q193" s="37">
        <f t="shared" si="95"/>
        <v>5.284335625034884E-2</v>
      </c>
      <c r="R193" s="43">
        <f t="shared" si="96"/>
        <v>93.105686712500699</v>
      </c>
      <c r="S193" s="76">
        <f t="shared" si="97"/>
        <v>0.32360361594207615</v>
      </c>
      <c r="T193">
        <v>334</v>
      </c>
      <c r="U193" s="44">
        <f t="shared" si="98"/>
        <v>1032.1269094217562</v>
      </c>
      <c r="V193">
        <v>41.5</v>
      </c>
      <c r="W193" s="77">
        <f t="shared" si="99"/>
        <v>269.43689601444356</v>
      </c>
      <c r="X193">
        <f t="shared" si="100"/>
        <v>1.44</v>
      </c>
      <c r="Y193" s="47">
        <f t="shared" si="101"/>
        <v>23.498090411056648</v>
      </c>
      <c r="Z193">
        <v>93</v>
      </c>
    </row>
    <row r="194" spans="1:26" ht="15" customHeight="1" thickBot="1">
      <c r="A194">
        <v>93.5</v>
      </c>
      <c r="B194" t="s">
        <v>167</v>
      </c>
      <c r="C194">
        <v>0.05</v>
      </c>
      <c r="D194">
        <v>100</v>
      </c>
      <c r="E194" s="37">
        <f t="shared" si="85"/>
        <v>93.571428571428569</v>
      </c>
      <c r="F194">
        <v>30</v>
      </c>
      <c r="G194" s="71">
        <f t="shared" si="86"/>
        <v>1.4285714285714286</v>
      </c>
      <c r="H194" s="39">
        <f t="shared" si="87"/>
        <v>99.999999999999986</v>
      </c>
      <c r="I194">
        <v>100</v>
      </c>
      <c r="J194" s="71">
        <f t="shared" si="88"/>
        <v>7.1428571428571438E-2</v>
      </c>
      <c r="K194" s="71">
        <f t="shared" si="89"/>
        <v>93.642857142857139</v>
      </c>
      <c r="L194" s="72">
        <f t="shared" si="90"/>
        <v>18.787201094065878</v>
      </c>
      <c r="M194" s="73">
        <f t="shared" si="91"/>
        <v>0.34017851012137468</v>
      </c>
      <c r="N194" s="73">
        <f t="shared" si="92"/>
        <v>0.94672122699121986</v>
      </c>
      <c r="O194" s="74">
        <f t="shared" si="93"/>
        <v>5.3278773008780149</v>
      </c>
      <c r="P194" s="75">
        <f t="shared" si="94"/>
        <v>1.0562771505378681</v>
      </c>
      <c r="Q194" s="37">
        <f t="shared" si="95"/>
        <v>5.281385752689341E-2</v>
      </c>
      <c r="R194" s="43">
        <f t="shared" si="96"/>
        <v>93.605627715053785</v>
      </c>
      <c r="S194" s="76">
        <f t="shared" si="97"/>
        <v>0.32205421649815291</v>
      </c>
      <c r="T194">
        <v>335</v>
      </c>
      <c r="U194" s="44">
        <f t="shared" si="98"/>
        <v>1040.1975283621891</v>
      </c>
      <c r="V194">
        <v>41.5</v>
      </c>
      <c r="W194" s="77">
        <f t="shared" si="99"/>
        <v>270.3886693297905</v>
      </c>
      <c r="X194">
        <f t="shared" si="100"/>
        <v>1.44</v>
      </c>
      <c r="Y194" s="47">
        <f t="shared" si="101"/>
        <v>23.597976784591989</v>
      </c>
      <c r="Z194">
        <v>93.5</v>
      </c>
    </row>
    <row r="195" spans="1:26" ht="15" customHeight="1" thickBot="1">
      <c r="A195">
        <v>94</v>
      </c>
      <c r="B195" t="s">
        <v>167</v>
      </c>
      <c r="C195">
        <v>0.05</v>
      </c>
      <c r="D195">
        <v>100</v>
      </c>
      <c r="E195" s="37">
        <f t="shared" si="85"/>
        <v>94.071428571428569</v>
      </c>
      <c r="F195">
        <v>30</v>
      </c>
      <c r="G195" s="71">
        <f t="shared" si="86"/>
        <v>1.4285714285714286</v>
      </c>
      <c r="H195" s="39">
        <f t="shared" si="87"/>
        <v>100</v>
      </c>
      <c r="I195">
        <v>100</v>
      </c>
      <c r="J195" s="71">
        <f t="shared" si="88"/>
        <v>7.1428571428571438E-2</v>
      </c>
      <c r="K195" s="71">
        <f t="shared" si="89"/>
        <v>94.142857142857139</v>
      </c>
      <c r="L195" s="72">
        <f t="shared" si="90"/>
        <v>18.69429908384728</v>
      </c>
      <c r="M195" s="73">
        <f t="shared" si="91"/>
        <v>0.33837042388686478</v>
      </c>
      <c r="N195" s="73">
        <f t="shared" si="92"/>
        <v>0.94724217575582959</v>
      </c>
      <c r="O195" s="74">
        <f t="shared" si="93"/>
        <v>5.275782424417045</v>
      </c>
      <c r="P195" s="75">
        <f t="shared" si="94"/>
        <v>1.0556962365005269</v>
      </c>
      <c r="Q195" s="37">
        <f t="shared" si="95"/>
        <v>5.2784811825026347E-2</v>
      </c>
      <c r="R195" s="43">
        <f t="shared" si="96"/>
        <v>94.105569623650055</v>
      </c>
      <c r="S195" s="76">
        <f t="shared" si="97"/>
        <v>0.32051873653401608</v>
      </c>
      <c r="T195">
        <v>336</v>
      </c>
      <c r="U195" s="44">
        <f t="shared" si="98"/>
        <v>1048.3006504811331</v>
      </c>
      <c r="V195">
        <v>41.5</v>
      </c>
      <c r="W195" s="77">
        <f t="shared" si="99"/>
        <v>271.34091708884841</v>
      </c>
      <c r="X195">
        <f t="shared" si="100"/>
        <v>1.44</v>
      </c>
      <c r="Y195" s="47">
        <f t="shared" si="101"/>
        <v>23.698003007865122</v>
      </c>
      <c r="Z195">
        <v>94</v>
      </c>
    </row>
    <row r="196" spans="1:26" ht="15" customHeight="1" thickBot="1">
      <c r="A196">
        <v>94.5</v>
      </c>
      <c r="B196" t="s">
        <v>167</v>
      </c>
      <c r="C196">
        <v>0.05</v>
      </c>
      <c r="D196">
        <v>100</v>
      </c>
      <c r="E196" s="37">
        <f t="shared" si="85"/>
        <v>94.571428571428569</v>
      </c>
      <c r="F196">
        <v>30</v>
      </c>
      <c r="G196" s="71">
        <f t="shared" si="86"/>
        <v>1.4285714285714286</v>
      </c>
      <c r="H196" s="39">
        <f t="shared" si="87"/>
        <v>99.999999999999986</v>
      </c>
      <c r="I196">
        <v>100</v>
      </c>
      <c r="J196" s="71">
        <f t="shared" si="88"/>
        <v>7.1428571428571438E-2</v>
      </c>
      <c r="K196" s="71">
        <f t="shared" si="89"/>
        <v>94.642857142857139</v>
      </c>
      <c r="L196" s="72">
        <f t="shared" si="90"/>
        <v>18.602278979866611</v>
      </c>
      <c r="M196" s="73">
        <f t="shared" si="91"/>
        <v>0.33658145638897341</v>
      </c>
      <c r="N196" s="73">
        <f t="shared" si="92"/>
        <v>0.94775572419603249</v>
      </c>
      <c r="O196" s="74">
        <f t="shared" si="93"/>
        <v>5.2244275803967497</v>
      </c>
      <c r="P196" s="75">
        <f t="shared" si="94"/>
        <v>1.0551241996963781</v>
      </c>
      <c r="Q196" s="37">
        <f t="shared" si="95"/>
        <v>5.2756209984818905E-2</v>
      </c>
      <c r="R196" s="43">
        <f t="shared" si="96"/>
        <v>94.605512419969642</v>
      </c>
      <c r="S196" s="76">
        <f t="shared" si="97"/>
        <v>0.31899700195088676</v>
      </c>
      <c r="T196">
        <v>337</v>
      </c>
      <c r="U196" s="44">
        <f t="shared" si="98"/>
        <v>1056.4362609648758</v>
      </c>
      <c r="V196">
        <v>41.5</v>
      </c>
      <c r="W196" s="77">
        <f t="shared" si="99"/>
        <v>272.29363258231984</v>
      </c>
      <c r="X196">
        <f t="shared" si="100"/>
        <v>1.44</v>
      </c>
      <c r="Y196" s="47">
        <f t="shared" si="101"/>
        <v>23.798166862156577</v>
      </c>
      <c r="Z196">
        <v>94.5</v>
      </c>
    </row>
    <row r="197" spans="1:26" ht="15" customHeight="1" thickBot="1">
      <c r="A197">
        <v>95</v>
      </c>
      <c r="B197" t="s">
        <v>167</v>
      </c>
      <c r="C197">
        <v>0.05</v>
      </c>
      <c r="D197">
        <v>100</v>
      </c>
      <c r="E197" s="37">
        <f t="shared" si="85"/>
        <v>95.071428571428569</v>
      </c>
      <c r="F197">
        <v>30</v>
      </c>
      <c r="G197" s="71">
        <f t="shared" si="86"/>
        <v>1.4285714285714286</v>
      </c>
      <c r="H197" s="39">
        <f t="shared" si="87"/>
        <v>100</v>
      </c>
      <c r="I197">
        <v>100</v>
      </c>
      <c r="J197" s="71">
        <f t="shared" si="88"/>
        <v>7.1428571428571438E-2</v>
      </c>
      <c r="K197" s="71">
        <f t="shared" si="89"/>
        <v>95.142857142857139</v>
      </c>
      <c r="L197" s="72">
        <f t="shared" si="90"/>
        <v>18.511128751748689</v>
      </c>
      <c r="M197" s="73">
        <f t="shared" si="91"/>
        <v>0.33481130597971515</v>
      </c>
      <c r="N197" s="73">
        <f t="shared" si="92"/>
        <v>0.94826200791835713</v>
      </c>
      <c r="O197" s="74">
        <f t="shared" si="93"/>
        <v>5.173799208164283</v>
      </c>
      <c r="P197" s="75">
        <f t="shared" si="94"/>
        <v>1.054560861502001</v>
      </c>
      <c r="Q197" s="37">
        <f t="shared" si="95"/>
        <v>5.2728043075100053E-2</v>
      </c>
      <c r="R197" s="43">
        <f t="shared" si="96"/>
        <v>95.105456086150198</v>
      </c>
      <c r="S197" s="76">
        <f t="shared" si="97"/>
        <v>0.31748884128209215</v>
      </c>
      <c r="T197">
        <v>338</v>
      </c>
      <c r="U197" s="44">
        <f t="shared" si="98"/>
        <v>1064.6043452584952</v>
      </c>
      <c r="V197">
        <v>41.5</v>
      </c>
      <c r="W197" s="77">
        <f t="shared" si="99"/>
        <v>273.24680922220097</v>
      </c>
      <c r="X197">
        <f t="shared" si="100"/>
        <v>1.44</v>
      </c>
      <c r="Y197" s="47">
        <f t="shared" si="101"/>
        <v>23.898466175437957</v>
      </c>
      <c r="Z197">
        <v>95</v>
      </c>
    </row>
    <row r="198" spans="1:26" ht="15" customHeight="1" thickBot="1">
      <c r="A198">
        <v>95.5</v>
      </c>
      <c r="B198" t="s">
        <v>167</v>
      </c>
      <c r="C198">
        <v>0.05</v>
      </c>
      <c r="D198">
        <v>100</v>
      </c>
      <c r="E198" s="37">
        <f t="shared" si="85"/>
        <v>95.571428571428569</v>
      </c>
      <c r="F198">
        <v>30</v>
      </c>
      <c r="G198" s="71">
        <f t="shared" si="86"/>
        <v>1.4285714285714286</v>
      </c>
      <c r="H198" s="39">
        <f t="shared" si="87"/>
        <v>100.00000000000001</v>
      </c>
      <c r="I198">
        <v>100</v>
      </c>
      <c r="J198" s="71">
        <f t="shared" si="88"/>
        <v>7.1428571428571438E-2</v>
      </c>
      <c r="K198" s="71">
        <f t="shared" si="89"/>
        <v>95.642857142857139</v>
      </c>
      <c r="L198" s="72">
        <f t="shared" si="90"/>
        <v>18.420836577881413</v>
      </c>
      <c r="M198" s="73">
        <f t="shared" si="91"/>
        <v>0.33305967732361802</v>
      </c>
      <c r="N198" s="73">
        <f t="shared" si="92"/>
        <v>0.94876115953064344</v>
      </c>
      <c r="O198" s="74">
        <f t="shared" si="93"/>
        <v>5.1238840469356575</v>
      </c>
      <c r="P198" s="75">
        <f t="shared" si="94"/>
        <v>1.0540060477335567</v>
      </c>
      <c r="Q198" s="37">
        <f t="shared" si="95"/>
        <v>5.2700302386677833E-2</v>
      </c>
      <c r="R198" s="43">
        <f t="shared" si="96"/>
        <v>95.605400604773351</v>
      </c>
      <c r="S198" s="76">
        <f t="shared" si="97"/>
        <v>0.31599408565045783</v>
      </c>
      <c r="T198">
        <v>339</v>
      </c>
      <c r="U198" s="44">
        <f t="shared" si="98"/>
        <v>1072.8048890604571</v>
      </c>
      <c r="V198">
        <v>41.5</v>
      </c>
      <c r="W198" s="77">
        <f t="shared" si="99"/>
        <v>274.20044053915893</v>
      </c>
      <c r="X198">
        <f t="shared" si="100"/>
        <v>1.44</v>
      </c>
      <c r="Y198" s="47">
        <f t="shared" si="101"/>
        <v>23.998898821150011</v>
      </c>
      <c r="Z198">
        <v>95.5</v>
      </c>
    </row>
    <row r="199" spans="1:26" ht="15" customHeight="1" thickBot="1">
      <c r="A199">
        <v>96</v>
      </c>
      <c r="B199" t="s">
        <v>167</v>
      </c>
      <c r="C199">
        <v>0.05</v>
      </c>
      <c r="D199">
        <v>100</v>
      </c>
      <c r="E199" s="37">
        <f t="shared" si="85"/>
        <v>96.071428571428569</v>
      </c>
      <c r="F199">
        <v>30</v>
      </c>
      <c r="G199" s="71">
        <f t="shared" si="86"/>
        <v>1.4285714285714286</v>
      </c>
      <c r="H199" s="39">
        <f t="shared" si="87"/>
        <v>100</v>
      </c>
      <c r="I199">
        <v>100</v>
      </c>
      <c r="J199" s="71">
        <f t="shared" si="88"/>
        <v>7.1428571428571438E-2</v>
      </c>
      <c r="K199" s="71">
        <f t="shared" si="89"/>
        <v>96.142857142857139</v>
      </c>
      <c r="L199" s="72">
        <f t="shared" si="90"/>
        <v>18.331390841127778</v>
      </c>
      <c r="M199" s="73">
        <f t="shared" si="91"/>
        <v>0.33132628123345792</v>
      </c>
      <c r="N199" s="73">
        <f t="shared" si="92"/>
        <v>0.94925330871859115</v>
      </c>
      <c r="O199" s="74">
        <f t="shared" si="93"/>
        <v>5.0746691281408829</v>
      </c>
      <c r="P199" s="75">
        <f t="shared" si="94"/>
        <v>1.053459588515854</v>
      </c>
      <c r="Q199" s="37">
        <f t="shared" si="95"/>
        <v>5.2672979425792701E-2</v>
      </c>
      <c r="R199" s="43">
        <f t="shared" si="96"/>
        <v>96.105345958851586</v>
      </c>
      <c r="S199" s="76">
        <f t="shared" si="97"/>
        <v>0.31451256872628641</v>
      </c>
      <c r="T199">
        <v>340</v>
      </c>
      <c r="U199" s="44">
        <f t="shared" si="98"/>
        <v>1081.037878317336</v>
      </c>
      <c r="V199">
        <v>41.5</v>
      </c>
      <c r="W199" s="77">
        <f t="shared" si="99"/>
        <v>275.15452017997347</v>
      </c>
      <c r="X199">
        <f t="shared" si="100"/>
        <v>1.44</v>
      </c>
      <c r="Y199" s="47">
        <f t="shared" si="101"/>
        <v>24.099462717018955</v>
      </c>
      <c r="Z199">
        <v>96</v>
      </c>
    </row>
    <row r="200" spans="1:26" ht="15" customHeight="1" thickBot="1">
      <c r="A200">
        <v>96.5</v>
      </c>
      <c r="B200" t="s">
        <v>167</v>
      </c>
      <c r="C200">
        <v>0.05</v>
      </c>
      <c r="D200">
        <v>100</v>
      </c>
      <c r="E200" s="37">
        <f t="shared" si="85"/>
        <v>96.571428571428569</v>
      </c>
      <c r="F200">
        <v>30</v>
      </c>
      <c r="G200" s="71">
        <f t="shared" si="86"/>
        <v>1.4285714285714286</v>
      </c>
      <c r="H200" s="39">
        <f t="shared" si="87"/>
        <v>100</v>
      </c>
      <c r="I200">
        <v>100</v>
      </c>
      <c r="J200" s="71">
        <f t="shared" si="88"/>
        <v>7.1428571428571438E-2</v>
      </c>
      <c r="K200" s="71">
        <f t="shared" si="89"/>
        <v>96.642857142857139</v>
      </c>
      <c r="L200" s="72">
        <f t="shared" si="90"/>
        <v>18.242780124636603</v>
      </c>
      <c r="M200" s="73">
        <f t="shared" si="91"/>
        <v>0.3296108345110953</v>
      </c>
      <c r="N200" s="73">
        <f t="shared" si="92"/>
        <v>0.94973858232012887</v>
      </c>
      <c r="O200" s="74">
        <f t="shared" si="93"/>
        <v>5.026141767987113</v>
      </c>
      <c r="P200" s="75">
        <f t="shared" si="94"/>
        <v>1.0529213181558728</v>
      </c>
      <c r="Q200" s="37">
        <f t="shared" si="95"/>
        <v>5.2646065907793638E-2</v>
      </c>
      <c r="R200" s="43">
        <f t="shared" si="96"/>
        <v>96.605292131815588</v>
      </c>
      <c r="S200" s="76">
        <f t="shared" si="97"/>
        <v>0.3130441266859223</v>
      </c>
      <c r="T200">
        <v>341</v>
      </c>
      <c r="U200" s="44">
        <f t="shared" si="98"/>
        <v>1089.3032992186622</v>
      </c>
      <c r="V200">
        <v>41.5</v>
      </c>
      <c r="W200" s="77">
        <f t="shared" si="99"/>
        <v>276.10904190504118</v>
      </c>
      <c r="X200">
        <f t="shared" si="100"/>
        <v>1.44</v>
      </c>
      <c r="Y200" s="47">
        <f t="shared" si="101"/>
        <v>24.200155823909444</v>
      </c>
      <c r="Z200">
        <v>96.5</v>
      </c>
    </row>
    <row r="201" spans="1:26" ht="15" customHeight="1" thickBot="1">
      <c r="A201">
        <v>97</v>
      </c>
      <c r="B201" t="s">
        <v>167</v>
      </c>
      <c r="C201">
        <v>0.05</v>
      </c>
      <c r="D201">
        <v>100</v>
      </c>
      <c r="E201" s="37">
        <f t="shared" ref="E201:E207" si="102">A201+J201</f>
        <v>97.071428571428569</v>
      </c>
      <c r="F201">
        <v>30</v>
      </c>
      <c r="G201" s="71">
        <f t="shared" ref="G201:G232" si="103">100/(100-F201)</f>
        <v>1.4285714285714286</v>
      </c>
      <c r="H201" s="39">
        <f t="shared" ref="H201:H207" si="104">3.1415926*E201*M201</f>
        <v>100</v>
      </c>
      <c r="I201">
        <v>100</v>
      </c>
      <c r="J201" s="71">
        <f t="shared" ref="J201:J207" si="105">G201*C201</f>
        <v>7.1428571428571438E-2</v>
      </c>
      <c r="K201" s="71">
        <f t="shared" ref="K201:K232" si="106">A201+2*J201</f>
        <v>97.142857142857139</v>
      </c>
      <c r="L201" s="72">
        <f t="shared" ref="L201:L207" si="107">ATAN(I201/(3.1415926*(A201+J201)))*180/3.1415926</f>
        <v>18.154993207749555</v>
      </c>
      <c r="M201" s="73">
        <f t="shared" ref="M201:M207" si="108">I201/(3.1415926*(A201+J201))</f>
        <v>0.32791305979323093</v>
      </c>
      <c r="N201" s="73">
        <f t="shared" ref="N201:N207" si="109">COS(L201*3.1415926/180)</f>
        <v>0.95021710439766927</v>
      </c>
      <c r="O201" s="74">
        <f t="shared" ref="O201:O232" si="110">(D201-I201*N201)/D201*100</f>
        <v>4.9782895602330797</v>
      </c>
      <c r="P201" s="75">
        <f t="shared" ref="P201:P232" si="111">100/(100-O201)</f>
        <v>1.0523910750205738</v>
      </c>
      <c r="Q201" s="37">
        <f t="shared" ref="Q201:Q232" si="112">P201*C201</f>
        <v>5.2619553751028697E-2</v>
      </c>
      <c r="R201" s="43">
        <f t="shared" ref="R201:R232" si="113">A201+2*Q201</f>
        <v>97.105239107502058</v>
      </c>
      <c r="S201" s="76">
        <f t="shared" ref="S201:S207" si="114">SIN(L201*3.1415926/180)</f>
        <v>0.31158859817090362</v>
      </c>
      <c r="T201">
        <v>342</v>
      </c>
      <c r="U201" s="44">
        <f t="shared" ref="U201:U232" si="115">T201/S201</f>
        <v>1097.6011381918925</v>
      </c>
      <c r="V201">
        <v>41.5</v>
      </c>
      <c r="W201" s="77">
        <f t="shared" ref="W201:W232" si="116">2*SQRT((1000*U201*C201/3.1415926)+(V201*V201))</f>
        <v>277.0639995859421</v>
      </c>
      <c r="X201">
        <f t="shared" ref="X201:X207" si="117">1.44</f>
        <v>1.44</v>
      </c>
      <c r="Y201" s="47">
        <f t="shared" ref="Y201:Y232" si="118">3.14*(A201+Q201)*Q201*X201*P201</f>
        <v>24.300976144713111</v>
      </c>
      <c r="Z201">
        <v>97</v>
      </c>
    </row>
    <row r="202" spans="1:26" ht="15" customHeight="1" thickBot="1">
      <c r="A202">
        <v>97.5</v>
      </c>
      <c r="B202" t="s">
        <v>167</v>
      </c>
      <c r="C202">
        <v>0.05</v>
      </c>
      <c r="D202">
        <v>100</v>
      </c>
      <c r="E202" s="37">
        <f t="shared" si="102"/>
        <v>97.571428571428569</v>
      </c>
      <c r="F202">
        <v>30</v>
      </c>
      <c r="G202" s="71">
        <f t="shared" si="103"/>
        <v>1.4285714285714286</v>
      </c>
      <c r="H202" s="39">
        <f t="shared" si="104"/>
        <v>100</v>
      </c>
      <c r="I202">
        <v>100</v>
      </c>
      <c r="J202" s="71">
        <f t="shared" si="105"/>
        <v>7.1428571428571438E-2</v>
      </c>
      <c r="K202" s="71">
        <f t="shared" si="106"/>
        <v>97.642857142857139</v>
      </c>
      <c r="L202" s="72">
        <f t="shared" si="107"/>
        <v>18.068019062002136</v>
      </c>
      <c r="M202" s="73">
        <f t="shared" si="108"/>
        <v>0.32623268540190403</v>
      </c>
      <c r="N202" s="73">
        <f t="shared" si="109"/>
        <v>0.95068899630831594</v>
      </c>
      <c r="O202" s="74">
        <f t="shared" si="110"/>
        <v>4.931100369168405</v>
      </c>
      <c r="P202" s="75">
        <f t="shared" si="111"/>
        <v>1.0518687014188308</v>
      </c>
      <c r="Q202" s="37">
        <f t="shared" si="112"/>
        <v>5.2593435070941545E-2</v>
      </c>
      <c r="R202" s="43">
        <f t="shared" si="113"/>
        <v>97.605186870141878</v>
      </c>
      <c r="S202" s="76">
        <f t="shared" si="114"/>
        <v>0.31014582424770276</v>
      </c>
      <c r="T202">
        <v>343</v>
      </c>
      <c r="U202" s="44">
        <f t="shared" si="115"/>
        <v>1105.9313818974965</v>
      </c>
      <c r="V202">
        <v>41.5</v>
      </c>
      <c r="W202" s="77">
        <f t="shared" si="116"/>
        <v>278.01938720306543</v>
      </c>
      <c r="X202">
        <f t="shared" si="117"/>
        <v>1.44</v>
      </c>
      <c r="Y202" s="47">
        <f t="shared" si="118"/>
        <v>24.401921723271258</v>
      </c>
      <c r="Z202">
        <v>97.5</v>
      </c>
    </row>
    <row r="203" spans="1:26" ht="15" customHeight="1" thickBot="1">
      <c r="A203">
        <v>98</v>
      </c>
      <c r="B203" t="s">
        <v>167</v>
      </c>
      <c r="C203">
        <v>0.05</v>
      </c>
      <c r="D203">
        <v>100</v>
      </c>
      <c r="E203" s="37">
        <f t="shared" si="102"/>
        <v>98.071428571428569</v>
      </c>
      <c r="F203">
        <v>30</v>
      </c>
      <c r="G203" s="71">
        <f t="shared" si="103"/>
        <v>1.4285714285714286</v>
      </c>
      <c r="H203" s="39">
        <f t="shared" si="104"/>
        <v>100</v>
      </c>
      <c r="I203">
        <v>100</v>
      </c>
      <c r="J203" s="71">
        <f t="shared" si="105"/>
        <v>7.1428571428571438E-2</v>
      </c>
      <c r="K203" s="71">
        <f t="shared" si="106"/>
        <v>98.142857142857139</v>
      </c>
      <c r="L203" s="72">
        <f t="shared" si="107"/>
        <v>17.981846847216314</v>
      </c>
      <c r="M203" s="73">
        <f t="shared" si="108"/>
        <v>0.3245694451995636</v>
      </c>
      <c r="N203" s="73">
        <f t="shared" si="109"/>
        <v>0.95115437677208481</v>
      </c>
      <c r="O203" s="74">
        <f t="shared" si="110"/>
        <v>4.884562322791524</v>
      </c>
      <c r="P203" s="75">
        <f t="shared" si="111"/>
        <v>1.0513540434873272</v>
      </c>
      <c r="Q203" s="37">
        <f t="shared" si="112"/>
        <v>5.2567702174366362E-2</v>
      </c>
      <c r="R203" s="43">
        <f t="shared" si="113"/>
        <v>98.105135404348729</v>
      </c>
      <c r="S203" s="76">
        <f t="shared" si="114"/>
        <v>0.30871564836805221</v>
      </c>
      <c r="T203">
        <v>344</v>
      </c>
      <c r="U203" s="44">
        <f t="shared" si="115"/>
        <v>1114.2940172241663</v>
      </c>
      <c r="V203">
        <v>41.5</v>
      </c>
      <c r="W203" s="77">
        <f t="shared" si="116"/>
        <v>278.97519884329364</v>
      </c>
      <c r="X203">
        <f t="shared" si="117"/>
        <v>1.44</v>
      </c>
      <c r="Y203" s="47">
        <f t="shared" si="118"/>
        <v>24.502990643330577</v>
      </c>
      <c r="Z203">
        <v>98</v>
      </c>
    </row>
    <row r="204" spans="1:26" ht="15" customHeight="1" thickBot="1">
      <c r="A204">
        <v>98.5</v>
      </c>
      <c r="B204" t="s">
        <v>167</v>
      </c>
      <c r="C204">
        <v>0.05</v>
      </c>
      <c r="D204">
        <v>100</v>
      </c>
      <c r="E204" s="37">
        <f t="shared" si="102"/>
        <v>98.571428571428569</v>
      </c>
      <c r="F204">
        <v>30</v>
      </c>
      <c r="G204" s="71">
        <f t="shared" si="103"/>
        <v>1.4285714285714286</v>
      </c>
      <c r="H204" s="39">
        <f t="shared" si="104"/>
        <v>100</v>
      </c>
      <c r="I204">
        <v>100</v>
      </c>
      <c r="J204" s="71">
        <f t="shared" si="105"/>
        <v>7.1428571428571438E-2</v>
      </c>
      <c r="K204" s="71">
        <f t="shared" si="106"/>
        <v>98.642857142857139</v>
      </c>
      <c r="L204" s="72">
        <f t="shared" si="107"/>
        <v>17.89646590768265</v>
      </c>
      <c r="M204" s="73">
        <f t="shared" si="108"/>
        <v>0.32292307844855134</v>
      </c>
      <c r="N204" s="73">
        <f t="shared" si="109"/>
        <v>0.95161336193820156</v>
      </c>
      <c r="O204" s="74">
        <f t="shared" si="110"/>
        <v>4.8386638061798379</v>
      </c>
      <c r="P204" s="75">
        <f t="shared" si="111"/>
        <v>1.0508469510802652</v>
      </c>
      <c r="Q204" s="37">
        <f t="shared" si="112"/>
        <v>5.2542347554013262E-2</v>
      </c>
      <c r="R204" s="43">
        <f t="shared" si="113"/>
        <v>98.605084695108033</v>
      </c>
      <c r="S204" s="76">
        <f t="shared" si="114"/>
        <v>0.30729791632985953</v>
      </c>
      <c r="T204">
        <v>345</v>
      </c>
      <c r="U204" s="44">
        <f t="shared" si="115"/>
        <v>1122.6890312841247</v>
      </c>
      <c r="V204">
        <v>41.5</v>
      </c>
      <c r="W204" s="77">
        <f t="shared" si="116"/>
        <v>279.93142869774232</v>
      </c>
      <c r="X204">
        <f t="shared" si="117"/>
        <v>1.44</v>
      </c>
      <c r="Y204" s="47">
        <f t="shared" si="118"/>
        <v>24.604181027530565</v>
      </c>
      <c r="Z204">
        <v>98.5</v>
      </c>
    </row>
    <row r="205" spans="1:26" ht="15" customHeight="1" thickBot="1">
      <c r="A205">
        <v>99</v>
      </c>
      <c r="B205" t="s">
        <v>167</v>
      </c>
      <c r="C205">
        <v>0.05</v>
      </c>
      <c r="D205">
        <v>100</v>
      </c>
      <c r="E205" s="37">
        <f t="shared" si="102"/>
        <v>99.071428571428569</v>
      </c>
      <c r="F205">
        <v>30</v>
      </c>
      <c r="G205" s="71">
        <f t="shared" si="103"/>
        <v>1.4285714285714286</v>
      </c>
      <c r="H205" s="39">
        <f t="shared" si="104"/>
        <v>100</v>
      </c>
      <c r="I205">
        <v>100</v>
      </c>
      <c r="J205" s="71">
        <f t="shared" si="105"/>
        <v>7.1428571428571438E-2</v>
      </c>
      <c r="K205" s="71">
        <f t="shared" si="106"/>
        <v>99.142857142857139</v>
      </c>
      <c r="L205" s="72">
        <f t="shared" si="107"/>
        <v>17.811865768429524</v>
      </c>
      <c r="M205" s="73">
        <f t="shared" si="108"/>
        <v>0.32129332967483842</v>
      </c>
      <c r="N205" s="73">
        <f t="shared" si="109"/>
        <v>0.95206606544953298</v>
      </c>
      <c r="O205" s="74">
        <f t="shared" si="110"/>
        <v>4.7933934550466972</v>
      </c>
      <c r="P205" s="75">
        <f t="shared" si="111"/>
        <v>1.0503472776627474</v>
      </c>
      <c r="Q205" s="37">
        <f t="shared" si="112"/>
        <v>5.2517363883137373E-2</v>
      </c>
      <c r="R205" s="43">
        <f t="shared" si="113"/>
        <v>99.105034727766281</v>
      </c>
      <c r="S205" s="76">
        <f t="shared" si="114"/>
        <v>0.30589247623870308</v>
      </c>
      <c r="T205">
        <v>346</v>
      </c>
      <c r="U205" s="44">
        <f t="shared" si="115"/>
        <v>1131.1164114085598</v>
      </c>
      <c r="V205">
        <v>41.5</v>
      </c>
      <c r="W205" s="77">
        <f t="shared" si="116"/>
        <v>280.88807105955613</v>
      </c>
      <c r="X205">
        <f t="shared" si="117"/>
        <v>1.44</v>
      </c>
      <c r="Y205" s="47">
        <f t="shared" si="118"/>
        <v>24.705491036421748</v>
      </c>
      <c r="Z205">
        <v>99</v>
      </c>
    </row>
    <row r="206" spans="1:26" ht="15" customHeight="1" thickBot="1">
      <c r="A206">
        <v>99.5</v>
      </c>
      <c r="B206" t="s">
        <v>167</v>
      </c>
      <c r="C206">
        <v>0.05</v>
      </c>
      <c r="D206">
        <v>100</v>
      </c>
      <c r="E206" s="37">
        <f t="shared" si="102"/>
        <v>99.571428571428569</v>
      </c>
      <c r="F206">
        <v>30</v>
      </c>
      <c r="G206" s="71">
        <f t="shared" si="103"/>
        <v>1.4285714285714286</v>
      </c>
      <c r="H206" s="39">
        <f t="shared" si="104"/>
        <v>100</v>
      </c>
      <c r="I206">
        <v>100</v>
      </c>
      <c r="J206" s="71">
        <f t="shared" si="105"/>
        <v>7.1428571428571438E-2</v>
      </c>
      <c r="K206" s="71">
        <f t="shared" si="106"/>
        <v>99.642857142857139</v>
      </c>
      <c r="L206" s="72">
        <f t="shared" si="107"/>
        <v>17.728036131577589</v>
      </c>
      <c r="M206" s="73">
        <f t="shared" si="108"/>
        <v>0.31967994853586867</v>
      </c>
      <c r="N206" s="73">
        <f t="shared" si="109"/>
        <v>0.95251259850521064</v>
      </c>
      <c r="O206" s="74">
        <f t="shared" si="110"/>
        <v>4.7487401494789339</v>
      </c>
      <c r="P206" s="75">
        <f t="shared" si="111"/>
        <v>1.0498548802076864</v>
      </c>
      <c r="Q206" s="37">
        <f t="shared" si="112"/>
        <v>5.2492744010384319E-2</v>
      </c>
      <c r="R206" s="43">
        <f t="shared" si="113"/>
        <v>99.604985488020773</v>
      </c>
      <c r="S206" s="76">
        <f t="shared" si="114"/>
        <v>0.30449917846991226</v>
      </c>
      <c r="T206">
        <v>347</v>
      </c>
      <c r="U206" s="44">
        <f t="shared" si="115"/>
        <v>1139.5761451431545</v>
      </c>
      <c r="V206">
        <v>41.5</v>
      </c>
      <c r="W206" s="77">
        <f t="shared" si="116"/>
        <v>281.84512032175746</v>
      </c>
      <c r="X206">
        <f t="shared" si="117"/>
        <v>1.44</v>
      </c>
      <c r="Y206" s="47">
        <f t="shared" si="118"/>
        <v>24.806918867513346</v>
      </c>
      <c r="Z206">
        <v>99.5</v>
      </c>
    </row>
    <row r="207" spans="1:26">
      <c r="A207">
        <v>100</v>
      </c>
      <c r="B207" t="s">
        <v>167</v>
      </c>
      <c r="C207">
        <v>0.05</v>
      </c>
      <c r="D207">
        <v>100</v>
      </c>
      <c r="E207" s="37">
        <f t="shared" si="102"/>
        <v>100.07142857142857</v>
      </c>
      <c r="F207">
        <v>30</v>
      </c>
      <c r="G207" s="71">
        <f t="shared" si="103"/>
        <v>1.4285714285714286</v>
      </c>
      <c r="H207" s="39">
        <f t="shared" si="104"/>
        <v>100</v>
      </c>
      <c r="I207">
        <v>100</v>
      </c>
      <c r="J207" s="71">
        <f t="shared" si="105"/>
        <v>7.1428571428571438E-2</v>
      </c>
      <c r="K207" s="71">
        <f t="shared" si="106"/>
        <v>100.14285714285714</v>
      </c>
      <c r="L207" s="72">
        <f t="shared" si="107"/>
        <v>17.64496687277715</v>
      </c>
      <c r="M207" s="73">
        <f t="shared" si="108"/>
        <v>0.3180826896923632</v>
      </c>
      <c r="N207" s="73">
        <f t="shared" si="109"/>
        <v>0.95295306992150086</v>
      </c>
      <c r="O207" s="74">
        <f t="shared" si="110"/>
        <v>4.7046930078499116</v>
      </c>
      <c r="P207" s="75">
        <f t="shared" si="111"/>
        <v>1.0493696190961161</v>
      </c>
      <c r="Q207" s="37">
        <f t="shared" si="112"/>
        <v>5.2468480954805809E-2</v>
      </c>
      <c r="R207" s="43">
        <f t="shared" si="113"/>
        <v>100.10493696190962</v>
      </c>
      <c r="S207" s="76">
        <f t="shared" si="114"/>
        <v>0.30311787563122561</v>
      </c>
      <c r="T207">
        <v>348</v>
      </c>
      <c r="U207" s="44">
        <f t="shared" si="115"/>
        <v>1148.0682202437251</v>
      </c>
      <c r="V207">
        <v>41.5</v>
      </c>
      <c r="W207" s="77">
        <f t="shared" si="116"/>
        <v>282.80257097514755</v>
      </c>
      <c r="X207">
        <f t="shared" si="117"/>
        <v>1.44</v>
      </c>
      <c r="Y207" s="47">
        <f t="shared" si="118"/>
        <v>24.908462754349717</v>
      </c>
      <c r="Z207">
        <v>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23"/>
  <dimension ref="A2:Z207"/>
  <sheetViews>
    <sheetView topLeftCell="I19" workbookViewId="0">
      <selection activeCell="P46" sqref="P46"/>
    </sheetView>
  </sheetViews>
  <sheetFormatPr defaultRowHeight="15"/>
  <cols>
    <col min="6" max="6" width="17.7109375" customWidth="1"/>
    <col min="10" max="10" width="17.28515625" customWidth="1"/>
    <col min="11" max="11" width="13.42578125" customWidth="1"/>
    <col min="17" max="17" width="16" customWidth="1"/>
    <col min="18" max="18" width="15.42578125" customWidth="1"/>
    <col min="21" max="21" width="16.42578125" customWidth="1"/>
    <col min="22" max="23" width="12.5703125" customWidth="1"/>
  </cols>
  <sheetData>
    <row r="2" spans="1:26">
      <c r="A2" t="s">
        <v>166</v>
      </c>
    </row>
    <row r="7" spans="1:26" ht="57.6" customHeight="1">
      <c r="A7" s="2" t="s">
        <v>106</v>
      </c>
      <c r="B7" s="2" t="s">
        <v>149</v>
      </c>
      <c r="C7" s="2" t="s">
        <v>150</v>
      </c>
      <c r="D7" s="2" t="s">
        <v>151</v>
      </c>
      <c r="E7" s="2" t="s">
        <v>110</v>
      </c>
      <c r="F7" s="2" t="s">
        <v>111</v>
      </c>
      <c r="G7" s="2" t="s">
        <v>112</v>
      </c>
      <c r="H7" s="2" t="s">
        <v>113</v>
      </c>
      <c r="I7" s="2" t="s">
        <v>114</v>
      </c>
      <c r="J7" s="2" t="s">
        <v>115</v>
      </c>
      <c r="K7" s="2" t="s">
        <v>116</v>
      </c>
      <c r="L7" s="2" t="s">
        <v>152</v>
      </c>
      <c r="M7" s="2" t="s">
        <v>118</v>
      </c>
      <c r="N7" s="2" t="s">
        <v>119</v>
      </c>
      <c r="O7" s="2" t="s">
        <v>153</v>
      </c>
      <c r="P7" s="2" t="s">
        <v>112</v>
      </c>
      <c r="Q7" s="2" t="s">
        <v>154</v>
      </c>
      <c r="R7" s="2" t="s">
        <v>122</v>
      </c>
      <c r="S7" s="2" t="s">
        <v>123</v>
      </c>
      <c r="T7" s="2" t="s">
        <v>155</v>
      </c>
      <c r="U7" s="2" t="s">
        <v>156</v>
      </c>
      <c r="V7" s="2" t="s">
        <v>157</v>
      </c>
      <c r="W7" s="2" t="s">
        <v>158</v>
      </c>
      <c r="X7" s="2" t="s">
        <v>124</v>
      </c>
      <c r="Y7" s="2" t="s">
        <v>125</v>
      </c>
      <c r="Z7" s="2" t="s">
        <v>106</v>
      </c>
    </row>
    <row r="8" spans="1:26" ht="43.9" customHeight="1" thickBot="1">
      <c r="A8" s="2" t="s">
        <v>126</v>
      </c>
      <c r="B8" s="2"/>
      <c r="C8" s="2" t="s">
        <v>127</v>
      </c>
      <c r="D8" s="2" t="s">
        <v>128</v>
      </c>
      <c r="E8" s="2" t="s">
        <v>129</v>
      </c>
      <c r="F8" s="2" t="s">
        <v>130</v>
      </c>
      <c r="G8" s="2" t="s">
        <v>131</v>
      </c>
      <c r="H8" s="2" t="s">
        <v>132</v>
      </c>
      <c r="I8" s="2" t="s">
        <v>133</v>
      </c>
      <c r="J8" s="2" t="s">
        <v>134</v>
      </c>
      <c r="K8" s="2" t="s">
        <v>135</v>
      </c>
      <c r="L8" s="2" t="s">
        <v>136</v>
      </c>
      <c r="M8" s="2" t="s">
        <v>137</v>
      </c>
      <c r="N8" s="2" t="s">
        <v>138</v>
      </c>
      <c r="O8" s="2" t="s">
        <v>139</v>
      </c>
      <c r="P8" s="2" t="s">
        <v>131</v>
      </c>
      <c r="Q8" s="2" t="s">
        <v>140</v>
      </c>
      <c r="R8" s="2" t="s">
        <v>141</v>
      </c>
      <c r="S8" s="2" t="s">
        <v>142</v>
      </c>
      <c r="T8" s="2" t="s">
        <v>161</v>
      </c>
      <c r="U8" s="2" t="s">
        <v>162</v>
      </c>
      <c r="V8" s="2" t="s">
        <v>163</v>
      </c>
      <c r="W8" s="2" t="s">
        <v>164</v>
      </c>
      <c r="X8" s="2"/>
      <c r="Y8" s="2"/>
      <c r="Z8" s="2" t="s">
        <v>126</v>
      </c>
    </row>
    <row r="9" spans="1:26" ht="15" customHeight="1" thickBot="1">
      <c r="A9">
        <v>1</v>
      </c>
      <c r="B9" t="s">
        <v>167</v>
      </c>
      <c r="C9">
        <v>0.02</v>
      </c>
      <c r="D9">
        <v>5</v>
      </c>
      <c r="E9" s="37">
        <f t="shared" ref="E9:E40" si="0">A9+J9</f>
        <v>1.0285714285714285</v>
      </c>
      <c r="F9">
        <v>30</v>
      </c>
      <c r="G9" s="71">
        <f t="shared" ref="G9:G40" si="1">100/(100-F9)</f>
        <v>1.4285714285714286</v>
      </c>
      <c r="H9" s="39">
        <f t="shared" ref="H9:H40" si="2">3.1415926*E9*M9</f>
        <v>5</v>
      </c>
      <c r="I9">
        <v>5</v>
      </c>
      <c r="J9" s="71">
        <f t="shared" ref="J9:J40" si="3">G9*C9</f>
        <v>2.8571428571428574E-2</v>
      </c>
      <c r="K9" s="71">
        <f t="shared" ref="K9:K40" si="4">A9+2*J9</f>
        <v>1.0571428571428572</v>
      </c>
      <c r="L9" s="72">
        <f t="shared" ref="L9:L40" si="5">ATAN(I9/(3.1415926*(A9+J9)))*180/3.1415926</f>
        <v>57.126608057920237</v>
      </c>
      <c r="M9" s="73">
        <f t="shared" ref="M9:M40" si="6">I9/(3.1415926*(A9+J9))</f>
        <v>1.5473397508993088</v>
      </c>
      <c r="N9" s="73">
        <f t="shared" ref="N9:N40" si="7">COS(L9*3.1415926/180)</f>
        <v>0.54278448770789434</v>
      </c>
      <c r="O9" s="74">
        <f t="shared" ref="O9:O40" si="8">(D9-I9*N9)/D9*100</f>
        <v>45.721551229210569</v>
      </c>
      <c r="P9" s="75">
        <f t="shared" ref="P9:P40" si="9">100/(100-O9)</f>
        <v>1.8423518406409607</v>
      </c>
      <c r="Q9" s="37">
        <f t="shared" ref="Q9:Q40" si="10">P9*C9</f>
        <v>3.6847036812819214E-2</v>
      </c>
      <c r="R9" s="43">
        <f t="shared" ref="R9:R40" si="11">A9+2*Q9</f>
        <v>1.0736940736256384</v>
      </c>
      <c r="S9" s="76">
        <f t="shared" ref="S9:S40" si="12">SIN(L9*3.1415926/180)</f>
        <v>0.83987201400194222</v>
      </c>
      <c r="T9">
        <v>150</v>
      </c>
      <c r="U9" s="44">
        <f t="shared" ref="U9:U40" si="13">T9/S9</f>
        <v>178.59864062532404</v>
      </c>
      <c r="V9">
        <v>41.5</v>
      </c>
      <c r="W9" s="77">
        <f t="shared" ref="W9:W40" si="14">2*SQRT((1000*U9*C9/3.1415926)+(V9*V9))</f>
        <v>106.943803538037</v>
      </c>
      <c r="X9">
        <v>1.44</v>
      </c>
      <c r="Y9" s="47">
        <f t="shared" ref="Y9:Y40" si="15">3.14*(A9+Q9)*Q9*X9*P9</f>
        <v>0.31825993653548418</v>
      </c>
      <c r="Z9">
        <v>1</v>
      </c>
    </row>
    <row r="10" spans="1:26" ht="15" customHeight="1" thickBot="1">
      <c r="A10">
        <v>1.5</v>
      </c>
      <c r="B10" t="s">
        <v>167</v>
      </c>
      <c r="C10">
        <v>0.02</v>
      </c>
      <c r="D10">
        <v>5</v>
      </c>
      <c r="E10" s="37">
        <f t="shared" si="0"/>
        <v>1.5285714285714285</v>
      </c>
      <c r="F10">
        <v>30</v>
      </c>
      <c r="G10" s="71">
        <f t="shared" si="1"/>
        <v>1.4285714285714286</v>
      </c>
      <c r="H10" s="39">
        <f t="shared" si="2"/>
        <v>5</v>
      </c>
      <c r="I10">
        <v>5</v>
      </c>
      <c r="J10" s="71">
        <f t="shared" si="3"/>
        <v>2.8571428571428574E-2</v>
      </c>
      <c r="K10" s="71">
        <f t="shared" si="4"/>
        <v>1.5571428571428572</v>
      </c>
      <c r="L10" s="72">
        <f t="shared" si="5"/>
        <v>46.156329503300675</v>
      </c>
      <c r="M10" s="73">
        <f t="shared" si="6"/>
        <v>1.0412005800443946</v>
      </c>
      <c r="N10" s="73">
        <f t="shared" si="7"/>
        <v>0.69269310396307371</v>
      </c>
      <c r="O10" s="74">
        <f t="shared" si="8"/>
        <v>30.730689603692625</v>
      </c>
      <c r="P10" s="75">
        <f t="shared" si="9"/>
        <v>1.4436407613685558</v>
      </c>
      <c r="Q10" s="37">
        <f t="shared" si="10"/>
        <v>2.8872815227371118E-2</v>
      </c>
      <c r="R10" s="43">
        <f t="shared" si="11"/>
        <v>1.5577456304547423</v>
      </c>
      <c r="S10" s="76">
        <f t="shared" si="12"/>
        <v>0.72123246163910448</v>
      </c>
      <c r="T10">
        <v>151</v>
      </c>
      <c r="U10" s="44">
        <f t="shared" si="13"/>
        <v>209.36384318702292</v>
      </c>
      <c r="V10">
        <v>41.5</v>
      </c>
      <c r="W10" s="77">
        <f t="shared" si="14"/>
        <v>110.54594781634003</v>
      </c>
      <c r="X10">
        <v>1.44</v>
      </c>
      <c r="Y10" s="47">
        <f t="shared" si="15"/>
        <v>0.2881454500336304</v>
      </c>
      <c r="Z10">
        <v>1.5</v>
      </c>
    </row>
    <row r="11" spans="1:26" ht="15" customHeight="1" thickBot="1">
      <c r="A11">
        <v>2</v>
      </c>
      <c r="B11" t="s">
        <v>167</v>
      </c>
      <c r="C11">
        <v>0.02</v>
      </c>
      <c r="D11">
        <v>10</v>
      </c>
      <c r="E11" s="37">
        <f t="shared" si="0"/>
        <v>2.0285714285714285</v>
      </c>
      <c r="F11">
        <v>30</v>
      </c>
      <c r="G11" s="71">
        <f t="shared" si="1"/>
        <v>1.4285714285714286</v>
      </c>
      <c r="H11" s="39">
        <f t="shared" si="2"/>
        <v>10</v>
      </c>
      <c r="I11">
        <v>10</v>
      </c>
      <c r="J11" s="71">
        <f t="shared" si="3"/>
        <v>2.8571428571428574E-2</v>
      </c>
      <c r="K11" s="71">
        <f t="shared" si="4"/>
        <v>2.0571428571428569</v>
      </c>
      <c r="L11" s="72">
        <f t="shared" si="5"/>
        <v>57.490863085098376</v>
      </c>
      <c r="M11" s="73">
        <f t="shared" si="6"/>
        <v>1.5691332685176087</v>
      </c>
      <c r="N11" s="73">
        <f t="shared" si="7"/>
        <v>0.53743411094865745</v>
      </c>
      <c r="O11" s="74">
        <f t="shared" si="8"/>
        <v>46.256588905134258</v>
      </c>
      <c r="P11" s="75">
        <f t="shared" si="9"/>
        <v>1.8606932080191925</v>
      </c>
      <c r="Q11" s="37">
        <f t="shared" si="10"/>
        <v>3.7213864160383851E-2</v>
      </c>
      <c r="R11" s="43">
        <f t="shared" si="11"/>
        <v>2.0744277283207677</v>
      </c>
      <c r="S11" s="76">
        <f t="shared" si="12"/>
        <v>0.84330574312572204</v>
      </c>
      <c r="T11">
        <v>152</v>
      </c>
      <c r="U11" s="44">
        <f t="shared" si="13"/>
        <v>180.24305092078507</v>
      </c>
      <c r="V11">
        <v>41.5</v>
      </c>
      <c r="W11" s="77">
        <f t="shared" si="14"/>
        <v>107.13940302342351</v>
      </c>
      <c r="X11">
        <v>1.44</v>
      </c>
      <c r="Y11" s="47">
        <f t="shared" si="15"/>
        <v>0.6378349367969447</v>
      </c>
      <c r="Z11">
        <v>2</v>
      </c>
    </row>
    <row r="12" spans="1:26" ht="15" customHeight="1" thickBot="1">
      <c r="A12">
        <v>2.5</v>
      </c>
      <c r="B12" t="s">
        <v>167</v>
      </c>
      <c r="C12">
        <v>0.02</v>
      </c>
      <c r="D12">
        <v>10</v>
      </c>
      <c r="E12" s="37">
        <f t="shared" si="0"/>
        <v>2.5285714285714285</v>
      </c>
      <c r="F12">
        <v>30</v>
      </c>
      <c r="G12" s="71">
        <f t="shared" si="1"/>
        <v>1.4285714285714286</v>
      </c>
      <c r="H12" s="39">
        <f t="shared" si="2"/>
        <v>10</v>
      </c>
      <c r="I12">
        <v>10</v>
      </c>
      <c r="J12" s="71">
        <f t="shared" si="3"/>
        <v>2.8571428571428574E-2</v>
      </c>
      <c r="K12" s="71">
        <f t="shared" si="4"/>
        <v>2.5571428571428569</v>
      </c>
      <c r="L12" s="72">
        <f t="shared" si="5"/>
        <v>51.53728069509215</v>
      </c>
      <c r="M12" s="73">
        <f t="shared" si="6"/>
        <v>1.2588526786977425</v>
      </c>
      <c r="N12" s="73">
        <f t="shared" si="7"/>
        <v>0.62200529657448078</v>
      </c>
      <c r="O12" s="74">
        <f t="shared" si="8"/>
        <v>37.799470342551921</v>
      </c>
      <c r="P12" s="75">
        <f t="shared" si="9"/>
        <v>1.607703351574687</v>
      </c>
      <c r="Q12" s="37">
        <f t="shared" si="10"/>
        <v>3.215406703149374E-2</v>
      </c>
      <c r="R12" s="43">
        <f t="shared" si="11"/>
        <v>2.5643081340629874</v>
      </c>
      <c r="S12" s="76">
        <f t="shared" si="12"/>
        <v>0.78301303375696896</v>
      </c>
      <c r="T12">
        <v>153</v>
      </c>
      <c r="U12" s="44">
        <f t="shared" si="13"/>
        <v>195.3990462532812</v>
      </c>
      <c r="V12">
        <v>41.5</v>
      </c>
      <c r="W12" s="77">
        <f t="shared" si="14"/>
        <v>108.92564408229214</v>
      </c>
      <c r="X12">
        <v>1.44</v>
      </c>
      <c r="Y12" s="47">
        <f t="shared" si="15"/>
        <v>0.59186695960055158</v>
      </c>
      <c r="Z12">
        <v>2.5</v>
      </c>
    </row>
    <row r="13" spans="1:26" ht="15" customHeight="1" thickBot="1">
      <c r="A13">
        <v>3</v>
      </c>
      <c r="B13" t="s">
        <v>167</v>
      </c>
      <c r="C13">
        <v>0.02</v>
      </c>
      <c r="D13">
        <v>10</v>
      </c>
      <c r="E13" s="37">
        <f t="shared" si="0"/>
        <v>3.0285714285714285</v>
      </c>
      <c r="F13">
        <v>30</v>
      </c>
      <c r="G13" s="71">
        <f t="shared" si="1"/>
        <v>1.4285714285714286</v>
      </c>
      <c r="H13" s="39">
        <f t="shared" si="2"/>
        <v>10</v>
      </c>
      <c r="I13">
        <v>10</v>
      </c>
      <c r="J13" s="71">
        <f t="shared" si="3"/>
        <v>2.8571428571428574E-2</v>
      </c>
      <c r="K13" s="71">
        <f t="shared" si="4"/>
        <v>3.0571428571428569</v>
      </c>
      <c r="L13" s="72">
        <f t="shared" si="5"/>
        <v>46.425051803650071</v>
      </c>
      <c r="M13" s="73">
        <f t="shared" si="6"/>
        <v>1.0510232270259454</v>
      </c>
      <c r="N13" s="73">
        <f t="shared" si="7"/>
        <v>0.68930285350082798</v>
      </c>
      <c r="O13" s="74">
        <f t="shared" si="8"/>
        <v>31.069714649917202</v>
      </c>
      <c r="P13" s="75">
        <f t="shared" si="9"/>
        <v>1.4507411291295327</v>
      </c>
      <c r="Q13" s="37">
        <f t="shared" si="10"/>
        <v>2.9014822582590655E-2</v>
      </c>
      <c r="R13" s="43">
        <f t="shared" si="11"/>
        <v>3.0580296451651812</v>
      </c>
      <c r="S13" s="76">
        <f t="shared" si="12"/>
        <v>0.72447330948463251</v>
      </c>
      <c r="T13">
        <v>154</v>
      </c>
      <c r="U13" s="44">
        <f t="shared" si="13"/>
        <v>212.56821746759829</v>
      </c>
      <c r="V13">
        <v>41.5</v>
      </c>
      <c r="W13" s="77">
        <f t="shared" si="14"/>
        <v>110.91440529078319</v>
      </c>
      <c r="X13">
        <v>1.44</v>
      </c>
      <c r="Y13" s="47">
        <f t="shared" si="15"/>
        <v>0.57650540282446694</v>
      </c>
      <c r="Z13">
        <v>3</v>
      </c>
    </row>
    <row r="14" spans="1:26" ht="15" customHeight="1" thickBot="1">
      <c r="A14">
        <v>3.5</v>
      </c>
      <c r="B14" t="s">
        <v>167</v>
      </c>
      <c r="C14">
        <v>0.02</v>
      </c>
      <c r="D14">
        <v>15</v>
      </c>
      <c r="E14" s="37">
        <f t="shared" si="0"/>
        <v>3.5285714285714285</v>
      </c>
      <c r="F14">
        <v>30</v>
      </c>
      <c r="G14" s="71">
        <f t="shared" si="1"/>
        <v>1.4285714285714286</v>
      </c>
      <c r="H14" s="39">
        <f t="shared" si="2"/>
        <v>15</v>
      </c>
      <c r="I14">
        <v>15</v>
      </c>
      <c r="J14" s="71">
        <f t="shared" si="3"/>
        <v>2.8571428571428574E-2</v>
      </c>
      <c r="K14" s="71">
        <f t="shared" si="4"/>
        <v>3.5571428571428569</v>
      </c>
      <c r="L14" s="72">
        <f t="shared" si="5"/>
        <v>53.534774973855249</v>
      </c>
      <c r="M14" s="73">
        <f t="shared" si="6"/>
        <v>1.3531392153613386</v>
      </c>
      <c r="N14" s="73">
        <f t="shared" si="7"/>
        <v>0.59433479893347818</v>
      </c>
      <c r="O14" s="74">
        <f t="shared" si="8"/>
        <v>40.566520106652177</v>
      </c>
      <c r="P14" s="75">
        <f t="shared" si="9"/>
        <v>1.6825533382774822</v>
      </c>
      <c r="Q14" s="37">
        <f t="shared" si="10"/>
        <v>3.3651066765549645E-2</v>
      </c>
      <c r="R14" s="43">
        <f t="shared" si="11"/>
        <v>3.5673021335310993</v>
      </c>
      <c r="S14" s="76">
        <f t="shared" si="12"/>
        <v>0.80421772349078591</v>
      </c>
      <c r="T14">
        <v>155</v>
      </c>
      <c r="U14" s="44">
        <f t="shared" si="13"/>
        <v>192.73387724807569</v>
      </c>
      <c r="V14">
        <v>41.5</v>
      </c>
      <c r="W14" s="77">
        <f t="shared" si="14"/>
        <v>108.61366380970618</v>
      </c>
      <c r="X14">
        <v>1.44</v>
      </c>
      <c r="Y14" s="47">
        <f t="shared" si="15"/>
        <v>0.90465602419973701</v>
      </c>
      <c r="Z14">
        <v>3.5</v>
      </c>
    </row>
    <row r="15" spans="1:26" ht="15" customHeight="1" thickBot="1">
      <c r="A15">
        <v>4</v>
      </c>
      <c r="B15" t="s">
        <v>167</v>
      </c>
      <c r="C15">
        <v>0.02</v>
      </c>
      <c r="D15">
        <v>15</v>
      </c>
      <c r="E15" s="37">
        <f t="shared" si="0"/>
        <v>4.0285714285714285</v>
      </c>
      <c r="F15">
        <v>30</v>
      </c>
      <c r="G15" s="71">
        <f t="shared" si="1"/>
        <v>1.4285714285714286</v>
      </c>
      <c r="H15" s="39">
        <f t="shared" si="2"/>
        <v>15</v>
      </c>
      <c r="I15">
        <v>15</v>
      </c>
      <c r="J15" s="71">
        <f t="shared" si="3"/>
        <v>2.8571428571428574E-2</v>
      </c>
      <c r="K15" s="71">
        <f t="shared" si="4"/>
        <v>4.0571428571428569</v>
      </c>
      <c r="L15" s="72">
        <f t="shared" si="5"/>
        <v>49.844268556361271</v>
      </c>
      <c r="M15" s="73">
        <f t="shared" si="6"/>
        <v>1.1851964049441512</v>
      </c>
      <c r="N15" s="73">
        <f t="shared" si="7"/>
        <v>0.64486737316647769</v>
      </c>
      <c r="O15" s="74">
        <f t="shared" si="8"/>
        <v>35.513262683352224</v>
      </c>
      <c r="P15" s="75">
        <f t="shared" si="9"/>
        <v>1.5507064578096461</v>
      </c>
      <c r="Q15" s="37">
        <f t="shared" si="10"/>
        <v>3.1014129156192925E-2</v>
      </c>
      <c r="R15" s="43">
        <f t="shared" si="11"/>
        <v>4.0620282583123855</v>
      </c>
      <c r="S15" s="76">
        <f t="shared" si="12"/>
        <v>0.76429449234268776</v>
      </c>
      <c r="T15">
        <v>156</v>
      </c>
      <c r="U15" s="44">
        <f t="shared" si="13"/>
        <v>204.10980526869224</v>
      </c>
      <c r="V15">
        <v>41.5</v>
      </c>
      <c r="W15" s="77">
        <f t="shared" si="14"/>
        <v>109.93913588612372</v>
      </c>
      <c r="X15">
        <v>1.44</v>
      </c>
      <c r="Y15" s="47">
        <f t="shared" si="15"/>
        <v>0.87658825450243383</v>
      </c>
      <c r="Z15">
        <v>4</v>
      </c>
    </row>
    <row r="16" spans="1:26" ht="15" customHeight="1" thickBot="1">
      <c r="A16">
        <v>4.5</v>
      </c>
      <c r="B16" t="s">
        <v>167</v>
      </c>
      <c r="C16">
        <v>0.02</v>
      </c>
      <c r="D16">
        <v>15</v>
      </c>
      <c r="E16" s="37">
        <f t="shared" si="0"/>
        <v>4.5285714285714285</v>
      </c>
      <c r="F16">
        <v>30</v>
      </c>
      <c r="G16" s="71">
        <f t="shared" si="1"/>
        <v>1.4285714285714286</v>
      </c>
      <c r="H16" s="39">
        <f t="shared" si="2"/>
        <v>15</v>
      </c>
      <c r="I16">
        <v>15</v>
      </c>
      <c r="J16" s="71">
        <f t="shared" si="3"/>
        <v>2.8571428571428574E-2</v>
      </c>
      <c r="K16" s="71">
        <f t="shared" si="4"/>
        <v>4.5571428571428569</v>
      </c>
      <c r="L16" s="72">
        <f t="shared" si="5"/>
        <v>46.515162638405407</v>
      </c>
      <c r="M16" s="73">
        <f t="shared" si="6"/>
        <v>1.0543387577105698</v>
      </c>
      <c r="N16" s="73">
        <f t="shared" si="7"/>
        <v>0.68816260004374796</v>
      </c>
      <c r="O16" s="74">
        <f t="shared" si="8"/>
        <v>31.183739995625203</v>
      </c>
      <c r="P16" s="75">
        <f t="shared" si="9"/>
        <v>1.4531449397808422</v>
      </c>
      <c r="Q16" s="37">
        <f t="shared" si="10"/>
        <v>2.9062898795616847E-2</v>
      </c>
      <c r="R16" s="43">
        <f t="shared" si="11"/>
        <v>4.5581257975912335</v>
      </c>
      <c r="S16" s="76">
        <f t="shared" si="12"/>
        <v>0.72555650083300105</v>
      </c>
      <c r="T16">
        <v>157</v>
      </c>
      <c r="U16" s="44">
        <f t="shared" si="13"/>
        <v>216.3856292649167</v>
      </c>
      <c r="V16">
        <v>41.5</v>
      </c>
      <c r="W16" s="77">
        <f t="shared" si="14"/>
        <v>111.35176197907251</v>
      </c>
      <c r="X16">
        <v>1.44</v>
      </c>
      <c r="Y16" s="47">
        <f t="shared" si="15"/>
        <v>0.86486506707894995</v>
      </c>
      <c r="Z16">
        <v>4.5</v>
      </c>
    </row>
    <row r="17" spans="1:26" ht="15" customHeight="1" thickBot="1">
      <c r="A17">
        <v>5</v>
      </c>
      <c r="B17" t="s">
        <v>167</v>
      </c>
      <c r="C17">
        <v>0.02</v>
      </c>
      <c r="D17">
        <v>20</v>
      </c>
      <c r="E17" s="37">
        <f t="shared" si="0"/>
        <v>5.0285714285714285</v>
      </c>
      <c r="F17">
        <v>30</v>
      </c>
      <c r="G17" s="71">
        <f t="shared" si="1"/>
        <v>1.4285714285714286</v>
      </c>
      <c r="H17" s="39">
        <f t="shared" si="2"/>
        <v>20</v>
      </c>
      <c r="I17">
        <v>20</v>
      </c>
      <c r="J17" s="71">
        <f t="shared" si="3"/>
        <v>2.8571428571428574E-2</v>
      </c>
      <c r="K17" s="71">
        <f t="shared" si="4"/>
        <v>5.0571428571428569</v>
      </c>
      <c r="L17" s="72">
        <f t="shared" si="5"/>
        <v>51.695282364756295</v>
      </c>
      <c r="M17" s="73">
        <f t="shared" si="6"/>
        <v>1.2660052507357979</v>
      </c>
      <c r="N17" s="73">
        <f t="shared" si="7"/>
        <v>0.61984365889872106</v>
      </c>
      <c r="O17" s="74">
        <f t="shared" si="8"/>
        <v>38.015634110127898</v>
      </c>
      <c r="P17" s="75">
        <f t="shared" si="9"/>
        <v>1.6133100430142409</v>
      </c>
      <c r="Q17" s="37">
        <f t="shared" si="10"/>
        <v>3.2266200860284817E-2</v>
      </c>
      <c r="R17" s="43">
        <f t="shared" si="11"/>
        <v>5.0645324017205695</v>
      </c>
      <c r="S17" s="76">
        <f t="shared" si="12"/>
        <v>0.78472532680106988</v>
      </c>
      <c r="T17">
        <v>158</v>
      </c>
      <c r="U17" s="44">
        <f t="shared" si="13"/>
        <v>201.34433616930201</v>
      </c>
      <c r="V17">
        <v>41.5</v>
      </c>
      <c r="W17" s="77">
        <f t="shared" si="14"/>
        <v>109.61839036331709</v>
      </c>
      <c r="X17">
        <v>1.44</v>
      </c>
      <c r="Y17" s="47">
        <f t="shared" si="15"/>
        <v>1.1844627772933165</v>
      </c>
      <c r="Z17">
        <v>5</v>
      </c>
    </row>
    <row r="18" spans="1:26" ht="15" customHeight="1" thickBot="1">
      <c r="A18">
        <v>5.5</v>
      </c>
      <c r="B18" t="s">
        <v>167</v>
      </c>
      <c r="C18">
        <v>0.02</v>
      </c>
      <c r="D18">
        <v>20</v>
      </c>
      <c r="E18" s="37">
        <f t="shared" si="0"/>
        <v>5.5285714285714285</v>
      </c>
      <c r="F18">
        <v>30</v>
      </c>
      <c r="G18" s="71">
        <f t="shared" si="1"/>
        <v>1.4285714285714286</v>
      </c>
      <c r="H18" s="39">
        <f t="shared" si="2"/>
        <v>20</v>
      </c>
      <c r="I18">
        <v>20</v>
      </c>
      <c r="J18" s="71">
        <f t="shared" si="3"/>
        <v>2.8571428571428574E-2</v>
      </c>
      <c r="K18" s="71">
        <f t="shared" si="4"/>
        <v>5.5571428571428569</v>
      </c>
      <c r="L18" s="72">
        <f t="shared" si="5"/>
        <v>49.028104396336843</v>
      </c>
      <c r="M18" s="73">
        <f t="shared" si="6"/>
        <v>1.1515086518320437</v>
      </c>
      <c r="N18" s="73">
        <f t="shared" si="7"/>
        <v>0.65568876529704545</v>
      </c>
      <c r="O18" s="74">
        <f t="shared" si="8"/>
        <v>34.431123470295454</v>
      </c>
      <c r="P18" s="75">
        <f t="shared" si="9"/>
        <v>1.5251138237010542</v>
      </c>
      <c r="Q18" s="37">
        <f t="shared" si="10"/>
        <v>3.0502276474021085E-2</v>
      </c>
      <c r="R18" s="43">
        <f t="shared" si="11"/>
        <v>5.5610045529480425</v>
      </c>
      <c r="S18" s="76">
        <f t="shared" si="12"/>
        <v>0.75503128614861792</v>
      </c>
      <c r="T18">
        <v>159</v>
      </c>
      <c r="U18" s="44">
        <f t="shared" si="13"/>
        <v>210.58730004560758</v>
      </c>
      <c r="V18">
        <v>41.5</v>
      </c>
      <c r="W18" s="77">
        <f t="shared" si="14"/>
        <v>110.68677270666522</v>
      </c>
      <c r="X18">
        <v>1.44</v>
      </c>
      <c r="Y18" s="47">
        <f t="shared" si="15"/>
        <v>1.163298656103428</v>
      </c>
      <c r="Z18">
        <v>5.5</v>
      </c>
    </row>
    <row r="19" spans="1:26" ht="15" customHeight="1" thickBot="1">
      <c r="A19">
        <v>6</v>
      </c>
      <c r="B19" t="s">
        <v>167</v>
      </c>
      <c r="C19">
        <v>0.02</v>
      </c>
      <c r="D19">
        <v>20</v>
      </c>
      <c r="E19" s="37">
        <f t="shared" si="0"/>
        <v>6.0285714285714285</v>
      </c>
      <c r="F19">
        <v>30</v>
      </c>
      <c r="G19" s="71">
        <f t="shared" si="1"/>
        <v>1.4285714285714286</v>
      </c>
      <c r="H19" s="39">
        <f t="shared" si="2"/>
        <v>20</v>
      </c>
      <c r="I19">
        <v>20</v>
      </c>
      <c r="J19" s="71">
        <f t="shared" si="3"/>
        <v>2.8571428571428574E-2</v>
      </c>
      <c r="K19" s="71">
        <f t="shared" si="4"/>
        <v>6.0571428571428569</v>
      </c>
      <c r="L19" s="72">
        <f t="shared" si="5"/>
        <v>46.560319121879608</v>
      </c>
      <c r="M19" s="73">
        <f t="shared" si="6"/>
        <v>1.0560043797606655</v>
      </c>
      <c r="N19" s="73">
        <f t="shared" si="7"/>
        <v>0.68759055403919622</v>
      </c>
      <c r="O19" s="74">
        <f t="shared" si="8"/>
        <v>31.240944596080382</v>
      </c>
      <c r="P19" s="75">
        <f t="shared" si="9"/>
        <v>1.4543538943715548</v>
      </c>
      <c r="Q19" s="37">
        <f t="shared" si="10"/>
        <v>2.9087077887431097E-2</v>
      </c>
      <c r="R19" s="43">
        <f t="shared" si="11"/>
        <v>6.0581741557748625</v>
      </c>
      <c r="S19" s="76">
        <f t="shared" si="12"/>
        <v>0.72609863654745366</v>
      </c>
      <c r="T19">
        <v>160</v>
      </c>
      <c r="U19" s="44">
        <f t="shared" si="13"/>
        <v>220.35573673679983</v>
      </c>
      <c r="V19">
        <v>41.5</v>
      </c>
      <c r="W19" s="77">
        <f t="shared" si="14"/>
        <v>111.80479799261553</v>
      </c>
      <c r="X19">
        <v>1.44</v>
      </c>
      <c r="Y19" s="47">
        <f t="shared" si="15"/>
        <v>1.1532245751513654</v>
      </c>
      <c r="Z19">
        <v>6</v>
      </c>
    </row>
    <row r="20" spans="1:26" ht="15" customHeight="1" thickBot="1">
      <c r="A20">
        <v>6.5</v>
      </c>
      <c r="B20" t="s">
        <v>167</v>
      </c>
      <c r="C20">
        <v>0.02</v>
      </c>
      <c r="D20">
        <v>25</v>
      </c>
      <c r="E20" s="37">
        <f t="shared" si="0"/>
        <v>6.5285714285714285</v>
      </c>
      <c r="F20">
        <v>30</v>
      </c>
      <c r="G20" s="71">
        <f t="shared" si="1"/>
        <v>1.4285714285714286</v>
      </c>
      <c r="H20" s="39">
        <f t="shared" si="2"/>
        <v>25</v>
      </c>
      <c r="I20">
        <v>25</v>
      </c>
      <c r="J20" s="71">
        <f t="shared" si="3"/>
        <v>2.8571428571428574E-2</v>
      </c>
      <c r="K20" s="71">
        <f t="shared" si="4"/>
        <v>6.5571428571428569</v>
      </c>
      <c r="L20" s="72">
        <f t="shared" si="5"/>
        <v>50.634394083082974</v>
      </c>
      <c r="M20" s="73">
        <f t="shared" si="6"/>
        <v>1.2189109635093023</v>
      </c>
      <c r="N20" s="73">
        <f t="shared" si="7"/>
        <v>0.63426654629138612</v>
      </c>
      <c r="O20" s="74">
        <f t="shared" si="8"/>
        <v>36.573345370861389</v>
      </c>
      <c r="P20" s="75">
        <f t="shared" si="9"/>
        <v>1.5766242218623865</v>
      </c>
      <c r="Q20" s="37">
        <f t="shared" si="10"/>
        <v>3.1532484437247731E-2</v>
      </c>
      <c r="R20" s="43">
        <f t="shared" si="11"/>
        <v>6.5630649688744951</v>
      </c>
      <c r="S20" s="76">
        <f t="shared" si="12"/>
        <v>0.77311444706175092</v>
      </c>
      <c r="T20">
        <v>161</v>
      </c>
      <c r="U20" s="44">
        <f t="shared" si="13"/>
        <v>208.24859839560139</v>
      </c>
      <c r="V20">
        <v>41.5</v>
      </c>
      <c r="W20" s="77">
        <f t="shared" si="14"/>
        <v>110.41742209777664</v>
      </c>
      <c r="X20">
        <v>1.44</v>
      </c>
      <c r="Y20" s="47">
        <f t="shared" si="15"/>
        <v>1.4682283843657324</v>
      </c>
      <c r="Z20">
        <v>6.5</v>
      </c>
    </row>
    <row r="21" spans="1:26" ht="15" customHeight="1" thickBot="1">
      <c r="A21">
        <v>7</v>
      </c>
      <c r="B21" t="s">
        <v>167</v>
      </c>
      <c r="C21">
        <v>0.02</v>
      </c>
      <c r="D21">
        <v>25</v>
      </c>
      <c r="E21" s="37">
        <f t="shared" si="0"/>
        <v>7.0285714285714285</v>
      </c>
      <c r="F21">
        <v>30</v>
      </c>
      <c r="G21" s="71">
        <f t="shared" si="1"/>
        <v>1.4285714285714286</v>
      </c>
      <c r="H21" s="39">
        <f t="shared" si="2"/>
        <v>25</v>
      </c>
      <c r="I21">
        <v>25</v>
      </c>
      <c r="J21" s="71">
        <f t="shared" si="3"/>
        <v>2.8571428571428574E-2</v>
      </c>
      <c r="K21" s="71">
        <f t="shared" si="4"/>
        <v>7.0571428571428569</v>
      </c>
      <c r="L21" s="72">
        <f t="shared" si="5"/>
        <v>48.547889688780188</v>
      </c>
      <c r="M21" s="73">
        <f t="shared" si="6"/>
        <v>1.1321998177312014</v>
      </c>
      <c r="N21" s="73">
        <f t="shared" si="7"/>
        <v>0.66199382594576928</v>
      </c>
      <c r="O21" s="74">
        <f t="shared" si="8"/>
        <v>33.800617405423068</v>
      </c>
      <c r="P21" s="75">
        <f t="shared" si="9"/>
        <v>1.5105881064243041</v>
      </c>
      <c r="Q21" s="37">
        <f t="shared" si="10"/>
        <v>3.0211762128486083E-2</v>
      </c>
      <c r="R21" s="43">
        <f t="shared" si="11"/>
        <v>7.0604235242569722</v>
      </c>
      <c r="S21" s="76">
        <f t="shared" si="12"/>
        <v>0.74950928907498038</v>
      </c>
      <c r="T21">
        <v>162</v>
      </c>
      <c r="U21" s="44">
        <f t="shared" si="13"/>
        <v>216.1414172730735</v>
      </c>
      <c r="V21">
        <v>41.5</v>
      </c>
      <c r="W21" s="77">
        <f t="shared" si="14"/>
        <v>111.32383432325564</v>
      </c>
      <c r="X21">
        <v>1.44</v>
      </c>
      <c r="Y21" s="47">
        <f t="shared" si="15"/>
        <v>1.4507168810683602</v>
      </c>
      <c r="Z21">
        <v>7</v>
      </c>
    </row>
    <row r="22" spans="1:26" ht="15" customHeight="1" thickBot="1">
      <c r="A22">
        <v>7.5</v>
      </c>
      <c r="B22" t="s">
        <v>167</v>
      </c>
      <c r="C22">
        <v>0.02</v>
      </c>
      <c r="D22">
        <v>25</v>
      </c>
      <c r="E22" s="37">
        <f t="shared" si="0"/>
        <v>7.5285714285714285</v>
      </c>
      <c r="F22">
        <v>30</v>
      </c>
      <c r="G22" s="71">
        <f t="shared" si="1"/>
        <v>1.4285714285714286</v>
      </c>
      <c r="H22" s="39">
        <f t="shared" si="2"/>
        <v>25</v>
      </c>
      <c r="I22">
        <v>25</v>
      </c>
      <c r="J22" s="71">
        <f t="shared" si="3"/>
        <v>2.8571428571428574E-2</v>
      </c>
      <c r="K22" s="71">
        <f t="shared" si="4"/>
        <v>7.5571428571428569</v>
      </c>
      <c r="L22" s="72">
        <f t="shared" si="5"/>
        <v>46.587445407877738</v>
      </c>
      <c r="M22" s="73">
        <f t="shared" si="6"/>
        <v>1.0570062814492429</v>
      </c>
      <c r="N22" s="73">
        <f t="shared" si="7"/>
        <v>0.68724671067673326</v>
      </c>
      <c r="O22" s="74">
        <f t="shared" si="8"/>
        <v>31.275328932326673</v>
      </c>
      <c r="P22" s="75">
        <f t="shared" si="9"/>
        <v>1.4550815368985877</v>
      </c>
      <c r="Q22" s="37">
        <f t="shared" si="10"/>
        <v>2.9101630737971753E-2</v>
      </c>
      <c r="R22" s="43">
        <f t="shared" si="11"/>
        <v>7.5582032614759438</v>
      </c>
      <c r="S22" s="76">
        <f t="shared" si="12"/>
        <v>0.72642409009063746</v>
      </c>
      <c r="T22">
        <v>163</v>
      </c>
      <c r="U22" s="44">
        <f t="shared" si="13"/>
        <v>224.38683163668506</v>
      </c>
      <c r="V22">
        <v>41.5</v>
      </c>
      <c r="W22" s="77">
        <f t="shared" si="14"/>
        <v>112.26292284019192</v>
      </c>
      <c r="X22">
        <v>1.44</v>
      </c>
      <c r="Y22" s="47">
        <f t="shared" si="15"/>
        <v>1.4415840067955548</v>
      </c>
      <c r="Z22">
        <v>7.5</v>
      </c>
    </row>
    <row r="23" spans="1:26" ht="15" customHeight="1" thickBot="1">
      <c r="A23">
        <v>8</v>
      </c>
      <c r="B23" t="s">
        <v>167</v>
      </c>
      <c r="C23">
        <v>0.02</v>
      </c>
      <c r="D23">
        <v>25</v>
      </c>
      <c r="E23" s="37">
        <f t="shared" si="0"/>
        <v>8.0285714285714285</v>
      </c>
      <c r="F23">
        <v>30</v>
      </c>
      <c r="G23" s="71">
        <f t="shared" si="1"/>
        <v>1.4285714285714286</v>
      </c>
      <c r="H23" s="39">
        <f t="shared" si="2"/>
        <v>25</v>
      </c>
      <c r="I23">
        <v>25</v>
      </c>
      <c r="J23" s="71">
        <f t="shared" si="3"/>
        <v>2.8571428571428574E-2</v>
      </c>
      <c r="K23" s="71">
        <f t="shared" si="4"/>
        <v>8.0571428571428569</v>
      </c>
      <c r="L23" s="72">
        <f t="shared" si="5"/>
        <v>44.746165109750997</v>
      </c>
      <c r="M23" s="73">
        <f t="shared" si="6"/>
        <v>0.99117848812055354</v>
      </c>
      <c r="N23" s="73">
        <f t="shared" si="7"/>
        <v>0.71023250414494543</v>
      </c>
      <c r="O23" s="74">
        <f t="shared" si="8"/>
        <v>28.976749585505456</v>
      </c>
      <c r="P23" s="75">
        <f t="shared" si="9"/>
        <v>1.4079896289791862</v>
      </c>
      <c r="Q23" s="37">
        <f t="shared" si="10"/>
        <v>2.8159792579583724E-2</v>
      </c>
      <c r="R23" s="43">
        <f t="shared" si="11"/>
        <v>8.0563195851591676</v>
      </c>
      <c r="S23" s="76">
        <f t="shared" si="12"/>
        <v>0.70396717967246181</v>
      </c>
      <c r="T23">
        <v>164</v>
      </c>
      <c r="U23" s="44">
        <f t="shared" si="13"/>
        <v>232.96540625133272</v>
      </c>
      <c r="V23">
        <v>41.5</v>
      </c>
      <c r="W23" s="77">
        <f t="shared" si="14"/>
        <v>113.23168927948518</v>
      </c>
      <c r="X23">
        <v>1.44</v>
      </c>
      <c r="Y23" s="47">
        <f t="shared" si="15"/>
        <v>1.4392527093949332</v>
      </c>
      <c r="Z23">
        <v>8</v>
      </c>
    </row>
    <row r="24" spans="1:26" ht="15" customHeight="1" thickBot="1">
      <c r="A24">
        <v>8.5</v>
      </c>
      <c r="B24" t="s">
        <v>167</v>
      </c>
      <c r="C24">
        <v>0.02</v>
      </c>
      <c r="D24">
        <v>30</v>
      </c>
      <c r="E24" s="37">
        <f t="shared" si="0"/>
        <v>8.5285714285714285</v>
      </c>
      <c r="F24">
        <v>30</v>
      </c>
      <c r="G24" s="71">
        <f t="shared" si="1"/>
        <v>1.4285714285714286</v>
      </c>
      <c r="H24" s="39">
        <f t="shared" si="2"/>
        <v>29.999999999999996</v>
      </c>
      <c r="I24">
        <v>30</v>
      </c>
      <c r="J24" s="71">
        <f t="shared" si="3"/>
        <v>2.8571428571428574E-2</v>
      </c>
      <c r="K24" s="71">
        <f t="shared" si="4"/>
        <v>8.5571428571428569</v>
      </c>
      <c r="L24" s="72">
        <f t="shared" si="5"/>
        <v>48.231644177093919</v>
      </c>
      <c r="M24" s="73">
        <f t="shared" si="6"/>
        <v>1.1196830358266352</v>
      </c>
      <c r="N24" s="73">
        <f t="shared" si="7"/>
        <v>0.66612065659782382</v>
      </c>
      <c r="O24" s="74">
        <f t="shared" si="8"/>
        <v>33.387934340217626</v>
      </c>
      <c r="P24" s="75">
        <f t="shared" si="9"/>
        <v>1.5012295296582565</v>
      </c>
      <c r="Q24" s="37">
        <f t="shared" si="10"/>
        <v>3.0024590593165132E-2</v>
      </c>
      <c r="R24" s="43">
        <f t="shared" si="11"/>
        <v>8.5600491811863311</v>
      </c>
      <c r="S24" s="76">
        <f t="shared" si="12"/>
        <v>0.74584399900628284</v>
      </c>
      <c r="T24">
        <v>165</v>
      </c>
      <c r="U24" s="44">
        <f t="shared" si="13"/>
        <v>221.22588667313266</v>
      </c>
      <c r="V24">
        <v>41.5</v>
      </c>
      <c r="W24" s="77">
        <f t="shared" si="14"/>
        <v>111.90384730081134</v>
      </c>
      <c r="X24">
        <v>1.44</v>
      </c>
      <c r="Y24" s="47">
        <f t="shared" si="15"/>
        <v>1.7384676598978439</v>
      </c>
      <c r="Z24">
        <v>8.5</v>
      </c>
    </row>
    <row r="25" spans="1:26" ht="15" customHeight="1" thickBot="1">
      <c r="A25">
        <v>9</v>
      </c>
      <c r="B25" t="s">
        <v>167</v>
      </c>
      <c r="C25">
        <v>0.02</v>
      </c>
      <c r="D25">
        <v>30</v>
      </c>
      <c r="E25" s="37">
        <f t="shared" si="0"/>
        <v>9.0285714285714285</v>
      </c>
      <c r="F25">
        <v>30</v>
      </c>
      <c r="G25" s="71">
        <f t="shared" si="1"/>
        <v>1.4285714285714286</v>
      </c>
      <c r="H25" s="39">
        <f t="shared" si="2"/>
        <v>30.000000000000004</v>
      </c>
      <c r="I25">
        <v>30</v>
      </c>
      <c r="J25" s="71">
        <f t="shared" si="3"/>
        <v>2.8571428571428574E-2</v>
      </c>
      <c r="K25" s="71">
        <f t="shared" si="4"/>
        <v>9.0571428571428569</v>
      </c>
      <c r="L25" s="72">
        <f t="shared" si="5"/>
        <v>46.605543109510222</v>
      </c>
      <c r="M25" s="73">
        <f t="shared" si="6"/>
        <v>1.0576752727666161</v>
      </c>
      <c r="N25" s="73">
        <f t="shared" si="7"/>
        <v>0.68701722483317351</v>
      </c>
      <c r="O25" s="74">
        <f t="shared" si="8"/>
        <v>31.298277516682649</v>
      </c>
      <c r="P25" s="75">
        <f t="shared" si="9"/>
        <v>1.455567580918844</v>
      </c>
      <c r="Q25" s="37">
        <f t="shared" si="10"/>
        <v>2.9111351618376882E-2</v>
      </c>
      <c r="R25" s="43">
        <f t="shared" si="11"/>
        <v>9.058222703236753</v>
      </c>
      <c r="S25" s="76">
        <f t="shared" si="12"/>
        <v>0.72664113067079039</v>
      </c>
      <c r="T25">
        <v>166</v>
      </c>
      <c r="U25" s="44">
        <f t="shared" si="13"/>
        <v>228.44839494119884</v>
      </c>
      <c r="V25">
        <v>41.5</v>
      </c>
      <c r="W25" s="77">
        <f t="shared" si="14"/>
        <v>112.72262730544476</v>
      </c>
      <c r="X25">
        <v>1.44</v>
      </c>
      <c r="Y25" s="47">
        <f t="shared" si="15"/>
        <v>1.7299433962886823</v>
      </c>
      <c r="Z25">
        <v>9</v>
      </c>
    </row>
    <row r="26" spans="1:26" ht="15" customHeight="1" thickBot="1">
      <c r="A26">
        <v>9.5</v>
      </c>
      <c r="B26" t="s">
        <v>167</v>
      </c>
      <c r="C26">
        <v>0.02</v>
      </c>
      <c r="D26">
        <v>30</v>
      </c>
      <c r="E26" s="37">
        <f t="shared" si="0"/>
        <v>9.5285714285714285</v>
      </c>
      <c r="F26">
        <v>30</v>
      </c>
      <c r="G26" s="71">
        <f t="shared" si="1"/>
        <v>1.4285714285714286</v>
      </c>
      <c r="H26" s="39">
        <f t="shared" si="2"/>
        <v>30</v>
      </c>
      <c r="I26">
        <v>30</v>
      </c>
      <c r="J26" s="71">
        <f t="shared" si="3"/>
        <v>2.8571428571428574E-2</v>
      </c>
      <c r="K26" s="71">
        <f t="shared" si="4"/>
        <v>9.5571428571428569</v>
      </c>
      <c r="L26" s="72">
        <f t="shared" si="5"/>
        <v>45.062244247745575</v>
      </c>
      <c r="M26" s="73">
        <f t="shared" si="6"/>
        <v>1.0021750710472284</v>
      </c>
      <c r="N26" s="73">
        <f t="shared" si="7"/>
        <v>0.70633819605562131</v>
      </c>
      <c r="O26" s="74">
        <f t="shared" si="8"/>
        <v>29.366180394437873</v>
      </c>
      <c r="P26" s="75">
        <f t="shared" si="9"/>
        <v>1.4157524052702568</v>
      </c>
      <c r="Q26" s="37">
        <f t="shared" si="10"/>
        <v>2.8315048105405138E-2</v>
      </c>
      <c r="R26" s="43">
        <f t="shared" si="11"/>
        <v>9.5566300962108102</v>
      </c>
      <c r="S26" s="76">
        <f t="shared" si="12"/>
        <v>0.70787453181541338</v>
      </c>
      <c r="T26">
        <v>167</v>
      </c>
      <c r="U26" s="44">
        <f t="shared" si="13"/>
        <v>235.91751432519007</v>
      </c>
      <c r="V26">
        <v>41.5</v>
      </c>
      <c r="W26" s="77">
        <f t="shared" si="14"/>
        <v>113.56315543858213</v>
      </c>
      <c r="X26">
        <v>1.44</v>
      </c>
      <c r="Y26" s="47">
        <f t="shared" si="15"/>
        <v>1.7270816127276101</v>
      </c>
      <c r="Z26">
        <v>9.5</v>
      </c>
    </row>
    <row r="27" spans="1:26" ht="15" customHeight="1" thickBot="1">
      <c r="A27">
        <v>10</v>
      </c>
      <c r="B27" t="s">
        <v>167</v>
      </c>
      <c r="C27">
        <v>0.02</v>
      </c>
      <c r="D27">
        <v>35</v>
      </c>
      <c r="E27" s="37">
        <f t="shared" si="0"/>
        <v>10.028571428571428</v>
      </c>
      <c r="F27">
        <v>30</v>
      </c>
      <c r="G27" s="71">
        <f t="shared" si="1"/>
        <v>1.4285714285714286</v>
      </c>
      <c r="H27" s="39">
        <f t="shared" si="2"/>
        <v>35</v>
      </c>
      <c r="I27">
        <v>35</v>
      </c>
      <c r="J27" s="71">
        <f t="shared" si="3"/>
        <v>2.8571428571428574E-2</v>
      </c>
      <c r="K27" s="71">
        <f t="shared" si="4"/>
        <v>10.057142857142857</v>
      </c>
      <c r="L27" s="72">
        <f t="shared" si="5"/>
        <v>48.007646328238792</v>
      </c>
      <c r="M27" s="73">
        <f t="shared" si="6"/>
        <v>1.1109105903892471</v>
      </c>
      <c r="N27" s="73">
        <f t="shared" si="7"/>
        <v>0.66903143566870293</v>
      </c>
      <c r="O27" s="74">
        <f t="shared" si="8"/>
        <v>33.096856433129702</v>
      </c>
      <c r="P27" s="75">
        <f t="shared" si="9"/>
        <v>1.4946980764819982</v>
      </c>
      <c r="Q27" s="37">
        <f t="shared" si="10"/>
        <v>2.9893961529639964E-2</v>
      </c>
      <c r="R27" s="43">
        <f t="shared" si="11"/>
        <v>10.059787923059281</v>
      </c>
      <c r="S27" s="76">
        <f t="shared" si="12"/>
        <v>0.74323410718768435</v>
      </c>
      <c r="T27">
        <v>168</v>
      </c>
      <c r="U27" s="44">
        <f t="shared" si="13"/>
        <v>226.03914214283495</v>
      </c>
      <c r="V27">
        <v>41.5</v>
      </c>
      <c r="W27" s="77">
        <f t="shared" si="14"/>
        <v>112.45016490371567</v>
      </c>
      <c r="X27">
        <v>1.44</v>
      </c>
      <c r="Y27" s="47">
        <f t="shared" si="15"/>
        <v>2.026401175301825</v>
      </c>
      <c r="Z27">
        <v>10</v>
      </c>
    </row>
    <row r="28" spans="1:26" ht="15" customHeight="1" thickBot="1">
      <c r="A28">
        <v>10.5</v>
      </c>
      <c r="B28" t="s">
        <v>167</v>
      </c>
      <c r="C28">
        <v>0.02</v>
      </c>
      <c r="D28">
        <v>35</v>
      </c>
      <c r="E28" s="37">
        <f t="shared" si="0"/>
        <v>10.528571428571428</v>
      </c>
      <c r="F28">
        <v>30</v>
      </c>
      <c r="G28" s="71">
        <f t="shared" si="1"/>
        <v>1.4285714285714286</v>
      </c>
      <c r="H28" s="39">
        <f t="shared" si="2"/>
        <v>35</v>
      </c>
      <c r="I28">
        <v>35</v>
      </c>
      <c r="J28" s="71">
        <f t="shared" si="3"/>
        <v>2.8571428571428574E-2</v>
      </c>
      <c r="K28" s="71">
        <f t="shared" si="4"/>
        <v>10.557142857142857</v>
      </c>
      <c r="L28" s="72">
        <f t="shared" si="5"/>
        <v>46.618476660852252</v>
      </c>
      <c r="M28" s="73">
        <f t="shared" si="6"/>
        <v>1.05815364240604</v>
      </c>
      <c r="N28" s="73">
        <f t="shared" si="7"/>
        <v>0.68685318041150423</v>
      </c>
      <c r="O28" s="74">
        <f t="shared" si="8"/>
        <v>31.314681958849583</v>
      </c>
      <c r="P28" s="75">
        <f t="shared" si="9"/>
        <v>1.4559152210678921</v>
      </c>
      <c r="Q28" s="37">
        <f t="shared" si="10"/>
        <v>2.9118304421357842E-2</v>
      </c>
      <c r="R28" s="43">
        <f t="shared" si="11"/>
        <v>10.558236608842716</v>
      </c>
      <c r="S28" s="76">
        <f t="shared" si="12"/>
        <v>0.72679619465060596</v>
      </c>
      <c r="T28">
        <v>169</v>
      </c>
      <c r="U28" s="44">
        <f t="shared" si="13"/>
        <v>232.52735944943089</v>
      </c>
      <c r="V28">
        <v>41.5</v>
      </c>
      <c r="W28" s="77">
        <f t="shared" si="14"/>
        <v>113.1824221629979</v>
      </c>
      <c r="X28">
        <v>1.44</v>
      </c>
      <c r="Y28" s="47">
        <f t="shared" si="15"/>
        <v>2.0183027602364159</v>
      </c>
      <c r="Z28">
        <v>10.5</v>
      </c>
    </row>
    <row r="29" spans="1:26" ht="15" customHeight="1" thickBot="1">
      <c r="A29">
        <v>11</v>
      </c>
      <c r="B29" t="s">
        <v>167</v>
      </c>
      <c r="C29">
        <v>0.02</v>
      </c>
      <c r="D29">
        <v>35</v>
      </c>
      <c r="E29" s="37">
        <f t="shared" si="0"/>
        <v>11.028571428571428</v>
      </c>
      <c r="F29">
        <v>30</v>
      </c>
      <c r="G29" s="71">
        <f t="shared" si="1"/>
        <v>1.4285714285714286</v>
      </c>
      <c r="H29" s="39">
        <f t="shared" si="2"/>
        <v>35</v>
      </c>
      <c r="I29">
        <v>35</v>
      </c>
      <c r="J29" s="71">
        <f t="shared" si="3"/>
        <v>2.8571428571428574E-2</v>
      </c>
      <c r="K29" s="71">
        <f t="shared" si="4"/>
        <v>11.057142857142857</v>
      </c>
      <c r="L29" s="72">
        <f t="shared" si="5"/>
        <v>45.290166983936814</v>
      </c>
      <c r="M29" s="73">
        <f t="shared" si="6"/>
        <v>1.0101803555093931</v>
      </c>
      <c r="N29" s="73">
        <f t="shared" si="7"/>
        <v>0.70351668837763193</v>
      </c>
      <c r="O29" s="74">
        <f t="shared" si="8"/>
        <v>29.648331162236811</v>
      </c>
      <c r="P29" s="75">
        <f t="shared" si="9"/>
        <v>1.4214303889593343</v>
      </c>
      <c r="Q29" s="37">
        <f t="shared" si="10"/>
        <v>2.8428607779186685E-2</v>
      </c>
      <c r="R29" s="43">
        <f t="shared" si="11"/>
        <v>11.056857215558374</v>
      </c>
      <c r="S29" s="76">
        <f t="shared" si="12"/>
        <v>0.71067873837210715</v>
      </c>
      <c r="T29">
        <v>170</v>
      </c>
      <c r="U29" s="44">
        <f t="shared" si="13"/>
        <v>239.20794421035433</v>
      </c>
      <c r="V29">
        <v>41.5</v>
      </c>
      <c r="W29" s="77">
        <f t="shared" si="14"/>
        <v>113.93147231373894</v>
      </c>
      <c r="X29">
        <v>1.44</v>
      </c>
      <c r="Y29" s="47">
        <f t="shared" si="15"/>
        <v>2.0150552763579919</v>
      </c>
      <c r="Z29">
        <v>11</v>
      </c>
    </row>
    <row r="30" spans="1:26" ht="15" customHeight="1" thickBot="1">
      <c r="A30">
        <v>11.5</v>
      </c>
      <c r="B30" t="s">
        <v>167</v>
      </c>
      <c r="C30">
        <v>0.02</v>
      </c>
      <c r="D30">
        <v>35</v>
      </c>
      <c r="E30" s="37">
        <f t="shared" si="0"/>
        <v>11.528571428571428</v>
      </c>
      <c r="F30">
        <v>30</v>
      </c>
      <c r="G30" s="71">
        <f t="shared" si="1"/>
        <v>1.4285714285714286</v>
      </c>
      <c r="H30" s="39">
        <f t="shared" si="2"/>
        <v>35</v>
      </c>
      <c r="I30">
        <v>35</v>
      </c>
      <c r="J30" s="71">
        <f t="shared" si="3"/>
        <v>2.8571428571428574E-2</v>
      </c>
      <c r="K30" s="71">
        <f t="shared" si="4"/>
        <v>11.557142857142857</v>
      </c>
      <c r="L30" s="72">
        <f t="shared" si="5"/>
        <v>44.020140861987436</v>
      </c>
      <c r="M30" s="73">
        <f t="shared" si="6"/>
        <v>0.96636832026425223</v>
      </c>
      <c r="N30" s="73">
        <f t="shared" si="7"/>
        <v>0.71909557567058502</v>
      </c>
      <c r="O30" s="74">
        <f t="shared" si="8"/>
        <v>28.090442432941497</v>
      </c>
      <c r="P30" s="75">
        <f t="shared" si="9"/>
        <v>1.3906357288702</v>
      </c>
      <c r="Q30" s="37">
        <f t="shared" si="10"/>
        <v>2.7812714577404002E-2</v>
      </c>
      <c r="R30" s="43">
        <f t="shared" si="11"/>
        <v>11.555625429154809</v>
      </c>
      <c r="S30" s="76">
        <f t="shared" si="12"/>
        <v>0.69491118357023873</v>
      </c>
      <c r="T30">
        <v>171</v>
      </c>
      <c r="U30" s="44">
        <f t="shared" si="13"/>
        <v>246.07461218490525</v>
      </c>
      <c r="V30">
        <v>41.5</v>
      </c>
      <c r="W30" s="77">
        <f t="shared" si="14"/>
        <v>114.69628873975965</v>
      </c>
      <c r="X30">
        <v>1.44</v>
      </c>
      <c r="Y30" s="47">
        <f t="shared" si="15"/>
        <v>2.0160245414689109</v>
      </c>
      <c r="Z30">
        <v>11.5</v>
      </c>
    </row>
    <row r="31" spans="1:26" ht="15" customHeight="1" thickBot="1">
      <c r="A31">
        <v>12</v>
      </c>
      <c r="B31" t="s">
        <v>167</v>
      </c>
      <c r="C31">
        <v>0.02</v>
      </c>
      <c r="D31">
        <v>40</v>
      </c>
      <c r="E31" s="37">
        <f t="shared" si="0"/>
        <v>12.028571428571428</v>
      </c>
      <c r="F31">
        <v>30</v>
      </c>
      <c r="G31" s="71">
        <f t="shared" si="1"/>
        <v>1.4285714285714286</v>
      </c>
      <c r="H31" s="39">
        <f t="shared" si="2"/>
        <v>40</v>
      </c>
      <c r="I31">
        <v>40</v>
      </c>
      <c r="J31" s="71">
        <f t="shared" si="3"/>
        <v>2.8571428571428574E-2</v>
      </c>
      <c r="K31" s="71">
        <f t="shared" si="4"/>
        <v>12.057142857142857</v>
      </c>
      <c r="L31" s="72">
        <f t="shared" si="5"/>
        <v>46.628180447075131</v>
      </c>
      <c r="M31" s="73">
        <f t="shared" si="6"/>
        <v>1.0585127037030899</v>
      </c>
      <c r="N31" s="73">
        <f t="shared" si="7"/>
        <v>0.68673007816531562</v>
      </c>
      <c r="O31" s="74">
        <f t="shared" si="8"/>
        <v>31.326992183468434</v>
      </c>
      <c r="P31" s="75">
        <f t="shared" si="9"/>
        <v>1.4561762063365911</v>
      </c>
      <c r="Q31" s="37">
        <f t="shared" si="10"/>
        <v>2.9123524126731821E-2</v>
      </c>
      <c r="R31" s="43">
        <f t="shared" si="11"/>
        <v>12.058247048253463</v>
      </c>
      <c r="S31" s="76">
        <f t="shared" si="12"/>
        <v>0.72691251175300275</v>
      </c>
      <c r="T31">
        <v>172</v>
      </c>
      <c r="U31" s="44">
        <f t="shared" si="13"/>
        <v>236.61719563088741</v>
      </c>
      <c r="V31">
        <v>41.5</v>
      </c>
      <c r="W31" s="77">
        <f t="shared" si="14"/>
        <v>113.64157474979838</v>
      </c>
      <c r="X31">
        <v>1.44</v>
      </c>
      <c r="Y31" s="47">
        <f t="shared" si="15"/>
        <v>2.3066621075762241</v>
      </c>
      <c r="Z31">
        <v>12</v>
      </c>
    </row>
    <row r="32" spans="1:26" ht="15" customHeight="1" thickBot="1">
      <c r="A32">
        <v>12.5</v>
      </c>
      <c r="B32" t="s">
        <v>167</v>
      </c>
      <c r="C32">
        <v>0.02</v>
      </c>
      <c r="D32">
        <v>40</v>
      </c>
      <c r="E32" s="37">
        <f t="shared" si="0"/>
        <v>12.528571428571428</v>
      </c>
      <c r="F32">
        <v>30</v>
      </c>
      <c r="G32" s="71">
        <f t="shared" si="1"/>
        <v>1.4285714285714286</v>
      </c>
      <c r="H32" s="39">
        <f t="shared" si="2"/>
        <v>40</v>
      </c>
      <c r="I32">
        <v>40</v>
      </c>
      <c r="J32" s="71">
        <f t="shared" si="3"/>
        <v>2.8571428571428574E-2</v>
      </c>
      <c r="K32" s="71">
        <f t="shared" si="4"/>
        <v>12.557142857142857</v>
      </c>
      <c r="L32" s="72">
        <f t="shared" si="5"/>
        <v>45.46229562803785</v>
      </c>
      <c r="M32" s="73">
        <f t="shared" si="6"/>
        <v>1.0162687531562162</v>
      </c>
      <c r="N32" s="73">
        <f t="shared" si="7"/>
        <v>0.70137848761497779</v>
      </c>
      <c r="O32" s="74">
        <f t="shared" si="8"/>
        <v>29.862151238502221</v>
      </c>
      <c r="P32" s="75">
        <f t="shared" si="9"/>
        <v>1.4257637176761411</v>
      </c>
      <c r="Q32" s="37">
        <f t="shared" si="10"/>
        <v>2.8515274353522822E-2</v>
      </c>
      <c r="R32" s="43">
        <f t="shared" si="11"/>
        <v>12.557030548707045</v>
      </c>
      <c r="S32" s="76">
        <f t="shared" si="12"/>
        <v>0.71278904109906627</v>
      </c>
      <c r="T32">
        <v>173</v>
      </c>
      <c r="U32" s="44">
        <f t="shared" si="13"/>
        <v>242.70855754634948</v>
      </c>
      <c r="V32">
        <v>41.5</v>
      </c>
      <c r="W32" s="77">
        <f t="shared" si="14"/>
        <v>114.32201350440428</v>
      </c>
      <c r="X32">
        <v>1.44</v>
      </c>
      <c r="Y32" s="47">
        <f t="shared" si="15"/>
        <v>2.3031215560752152</v>
      </c>
      <c r="Z32">
        <v>12.5</v>
      </c>
    </row>
    <row r="33" spans="1:26" ht="15" customHeight="1" thickBot="1">
      <c r="A33">
        <v>13</v>
      </c>
      <c r="B33" t="s">
        <v>167</v>
      </c>
      <c r="C33">
        <v>0.02</v>
      </c>
      <c r="D33">
        <v>40</v>
      </c>
      <c r="E33" s="37">
        <f t="shared" si="0"/>
        <v>13.028571428571428</v>
      </c>
      <c r="F33">
        <v>30</v>
      </c>
      <c r="G33" s="71">
        <f t="shared" si="1"/>
        <v>1.4285714285714286</v>
      </c>
      <c r="H33" s="39">
        <f t="shared" si="2"/>
        <v>40</v>
      </c>
      <c r="I33">
        <v>40</v>
      </c>
      <c r="J33" s="71">
        <f t="shared" si="3"/>
        <v>2.8571428571428574E-2</v>
      </c>
      <c r="K33" s="71">
        <f t="shared" si="4"/>
        <v>13.057142857142857</v>
      </c>
      <c r="L33" s="72">
        <f t="shared" si="5"/>
        <v>44.341295919178393</v>
      </c>
      <c r="M33" s="73">
        <f t="shared" si="6"/>
        <v>0.97726721109430015</v>
      </c>
      <c r="N33" s="73">
        <f t="shared" si="7"/>
        <v>0.71518917443257435</v>
      </c>
      <c r="O33" s="74">
        <f t="shared" si="8"/>
        <v>28.481082556742564</v>
      </c>
      <c r="P33" s="75">
        <f t="shared" si="9"/>
        <v>1.3982314550459918</v>
      </c>
      <c r="Q33" s="37">
        <f t="shared" si="10"/>
        <v>2.7964629100919836E-2</v>
      </c>
      <c r="R33" s="43">
        <f t="shared" si="11"/>
        <v>13.055929258201839</v>
      </c>
      <c r="S33" s="76">
        <f t="shared" si="12"/>
        <v>0.69893092990255679</v>
      </c>
      <c r="T33">
        <v>174</v>
      </c>
      <c r="U33" s="44">
        <f t="shared" si="13"/>
        <v>248.95163821732521</v>
      </c>
      <c r="V33">
        <v>41.5</v>
      </c>
      <c r="W33" s="77">
        <f t="shared" si="14"/>
        <v>115.01522298477815</v>
      </c>
      <c r="X33">
        <v>1.44</v>
      </c>
      <c r="Y33" s="47">
        <f t="shared" si="15"/>
        <v>2.3033335975311533</v>
      </c>
      <c r="Z33">
        <v>13</v>
      </c>
    </row>
    <row r="34" spans="1:26" ht="15" customHeight="1" thickBot="1">
      <c r="A34">
        <v>13.5</v>
      </c>
      <c r="B34" t="s">
        <v>167</v>
      </c>
      <c r="C34">
        <v>0.02</v>
      </c>
      <c r="D34">
        <v>45</v>
      </c>
      <c r="E34" s="37">
        <f t="shared" si="0"/>
        <v>13.528571428571428</v>
      </c>
      <c r="F34">
        <v>30</v>
      </c>
      <c r="G34" s="71">
        <f t="shared" si="1"/>
        <v>1.4285714285714286</v>
      </c>
      <c r="H34" s="39">
        <f t="shared" si="2"/>
        <v>45</v>
      </c>
      <c r="I34">
        <v>45</v>
      </c>
      <c r="J34" s="71">
        <f t="shared" si="3"/>
        <v>2.8571428571428574E-2</v>
      </c>
      <c r="K34" s="71">
        <f t="shared" si="4"/>
        <v>13.557142857142857</v>
      </c>
      <c r="L34" s="72">
        <f t="shared" si="5"/>
        <v>46.635729983824341</v>
      </c>
      <c r="M34" s="73">
        <f t="shared" si="6"/>
        <v>1.0587921421148383</v>
      </c>
      <c r="N34" s="73">
        <f t="shared" si="7"/>
        <v>0.68663429110693874</v>
      </c>
      <c r="O34" s="74">
        <f t="shared" si="8"/>
        <v>31.336570889306124</v>
      </c>
      <c r="P34" s="75">
        <f t="shared" si="9"/>
        <v>1.4563793462570553</v>
      </c>
      <c r="Q34" s="37">
        <f t="shared" si="10"/>
        <v>2.9127586925141107E-2</v>
      </c>
      <c r="R34" s="43">
        <f t="shared" si="11"/>
        <v>13.558255173850283</v>
      </c>
      <c r="S34" s="76">
        <f t="shared" si="12"/>
        <v>0.72700299193061901</v>
      </c>
      <c r="T34">
        <v>175</v>
      </c>
      <c r="U34" s="44">
        <f t="shared" si="13"/>
        <v>240.71427757851785</v>
      </c>
      <c r="V34">
        <v>41.5</v>
      </c>
      <c r="W34" s="77">
        <f t="shared" si="14"/>
        <v>114.09968820495779</v>
      </c>
      <c r="X34">
        <v>1.44</v>
      </c>
      <c r="Y34" s="47">
        <f t="shared" si="15"/>
        <v>2.5950214435257011</v>
      </c>
      <c r="Z34">
        <v>13.5</v>
      </c>
    </row>
    <row r="35" spans="1:26" ht="15" customHeight="1" thickBot="1">
      <c r="A35">
        <v>14</v>
      </c>
      <c r="B35" t="s">
        <v>167</v>
      </c>
      <c r="C35">
        <v>0.02</v>
      </c>
      <c r="D35">
        <v>45</v>
      </c>
      <c r="E35" s="37">
        <f t="shared" si="0"/>
        <v>14.028571428571428</v>
      </c>
      <c r="F35">
        <v>30</v>
      </c>
      <c r="G35" s="71">
        <f t="shared" si="1"/>
        <v>1.4285714285714286</v>
      </c>
      <c r="H35" s="39">
        <f t="shared" si="2"/>
        <v>45</v>
      </c>
      <c r="I35">
        <v>45</v>
      </c>
      <c r="J35" s="71">
        <f t="shared" si="3"/>
        <v>2.8571428571428574E-2</v>
      </c>
      <c r="K35" s="71">
        <f t="shared" si="4"/>
        <v>14.057142857142857</v>
      </c>
      <c r="L35" s="72">
        <f t="shared" si="5"/>
        <v>45.596880910121179</v>
      </c>
      <c r="M35" s="73">
        <f t="shared" si="6"/>
        <v>1.0210551513062647</v>
      </c>
      <c r="N35" s="73">
        <f t="shared" si="7"/>
        <v>0.69970224391615077</v>
      </c>
      <c r="O35" s="74">
        <f t="shared" si="8"/>
        <v>30.029775608384924</v>
      </c>
      <c r="P35" s="75">
        <f t="shared" si="9"/>
        <v>1.4291793526387999</v>
      </c>
      <c r="Q35" s="37">
        <f t="shared" si="10"/>
        <v>2.8583587052775999E-2</v>
      </c>
      <c r="R35" s="43">
        <f t="shared" si="11"/>
        <v>14.057167174105553</v>
      </c>
      <c r="S35" s="76">
        <f t="shared" si="12"/>
        <v>0.71443458053113829</v>
      </c>
      <c r="T35">
        <v>176</v>
      </c>
      <c r="U35" s="44">
        <f t="shared" si="13"/>
        <v>246.34865780034724</v>
      </c>
      <c r="V35">
        <v>41.5</v>
      </c>
      <c r="W35" s="77">
        <f t="shared" si="14"/>
        <v>114.72670641610085</v>
      </c>
      <c r="X35">
        <v>1.44</v>
      </c>
      <c r="Y35" s="47">
        <f t="shared" si="15"/>
        <v>2.5912506655471472</v>
      </c>
      <c r="Z35">
        <v>14</v>
      </c>
    </row>
    <row r="36" spans="1:26" ht="15" customHeight="1" thickBot="1">
      <c r="A36">
        <v>14.5</v>
      </c>
      <c r="B36" t="s">
        <v>167</v>
      </c>
      <c r="C36">
        <v>0.02</v>
      </c>
      <c r="D36">
        <v>45</v>
      </c>
      <c r="E36" s="37">
        <f t="shared" si="0"/>
        <v>14.528571428571428</v>
      </c>
      <c r="F36">
        <v>30</v>
      </c>
      <c r="G36" s="71">
        <f t="shared" si="1"/>
        <v>1.4285714285714286</v>
      </c>
      <c r="H36" s="39">
        <f t="shared" si="2"/>
        <v>45</v>
      </c>
      <c r="I36">
        <v>45</v>
      </c>
      <c r="J36" s="71">
        <f t="shared" si="3"/>
        <v>2.8571428571428574E-2</v>
      </c>
      <c r="K36" s="71">
        <f t="shared" si="4"/>
        <v>14.557142857142857</v>
      </c>
      <c r="L36" s="72">
        <f t="shared" si="5"/>
        <v>44.593657448360808</v>
      </c>
      <c r="M36" s="73">
        <f t="shared" si="6"/>
        <v>0.98591559349336477</v>
      </c>
      <c r="N36" s="73">
        <f t="shared" si="7"/>
        <v>0.7121037781751719</v>
      </c>
      <c r="O36" s="74">
        <f t="shared" si="8"/>
        <v>28.789622182482805</v>
      </c>
      <c r="P36" s="75">
        <f t="shared" si="9"/>
        <v>1.4042896985641435</v>
      </c>
      <c r="Q36" s="37">
        <f t="shared" si="10"/>
        <v>2.8085793971282871E-2</v>
      </c>
      <c r="R36" s="43">
        <f t="shared" si="11"/>
        <v>14.556171587942567</v>
      </c>
      <c r="S36" s="76">
        <f t="shared" si="12"/>
        <v>0.70207421908844192</v>
      </c>
      <c r="T36">
        <v>177</v>
      </c>
      <c r="U36" s="44">
        <f t="shared" si="13"/>
        <v>252.11009774694904</v>
      </c>
      <c r="V36">
        <v>41.5</v>
      </c>
      <c r="W36" s="77">
        <f t="shared" si="14"/>
        <v>115.3643403789987</v>
      </c>
      <c r="X36">
        <v>1.44</v>
      </c>
      <c r="Y36" s="47">
        <f t="shared" si="15"/>
        <v>2.5908600338629739</v>
      </c>
      <c r="Z36">
        <v>14.5</v>
      </c>
    </row>
    <row r="37" spans="1:26" ht="15" customHeight="1" thickBot="1">
      <c r="A37">
        <v>15</v>
      </c>
      <c r="B37" t="s">
        <v>167</v>
      </c>
      <c r="C37">
        <v>0.02</v>
      </c>
      <c r="D37">
        <v>50</v>
      </c>
      <c r="E37" s="37">
        <f t="shared" si="0"/>
        <v>15.028571428571428</v>
      </c>
      <c r="F37">
        <v>30</v>
      </c>
      <c r="G37" s="71">
        <f t="shared" si="1"/>
        <v>1.4285714285714286</v>
      </c>
      <c r="H37" s="39">
        <f t="shared" si="2"/>
        <v>50</v>
      </c>
      <c r="I37">
        <v>50</v>
      </c>
      <c r="J37" s="71">
        <f t="shared" si="3"/>
        <v>2.8571428571428574E-2</v>
      </c>
      <c r="K37" s="71">
        <f t="shared" si="4"/>
        <v>15.057142857142857</v>
      </c>
      <c r="L37" s="72">
        <f t="shared" si="5"/>
        <v>46.641770966452064</v>
      </c>
      <c r="M37" s="73">
        <f t="shared" si="6"/>
        <v>1.0590157990945839</v>
      </c>
      <c r="N37" s="73">
        <f t="shared" si="7"/>
        <v>0.68655763570459971</v>
      </c>
      <c r="O37" s="74">
        <f t="shared" si="8"/>
        <v>31.344236429540036</v>
      </c>
      <c r="P37" s="75">
        <f t="shared" si="9"/>
        <v>1.4565419536463549</v>
      </c>
      <c r="Q37" s="37">
        <f t="shared" si="10"/>
        <v>2.9130839072927097E-2</v>
      </c>
      <c r="R37" s="43">
        <f t="shared" si="11"/>
        <v>15.058261678145854</v>
      </c>
      <c r="S37" s="76">
        <f t="shared" si="12"/>
        <v>0.72707538320019482</v>
      </c>
      <c r="T37">
        <v>178</v>
      </c>
      <c r="U37" s="44">
        <f t="shared" si="13"/>
        <v>244.8164304731921</v>
      </c>
      <c r="V37">
        <v>41.5</v>
      </c>
      <c r="W37" s="77">
        <f t="shared" si="14"/>
        <v>114.55653327476119</v>
      </c>
      <c r="X37">
        <v>1.44</v>
      </c>
      <c r="Y37" s="47">
        <f t="shared" si="15"/>
        <v>2.8833807713294948</v>
      </c>
      <c r="Z37">
        <v>15</v>
      </c>
    </row>
    <row r="38" spans="1:26" ht="15" customHeight="1" thickBot="1">
      <c r="A38">
        <v>15.5</v>
      </c>
      <c r="B38" t="s">
        <v>167</v>
      </c>
      <c r="C38">
        <v>0.02</v>
      </c>
      <c r="D38">
        <v>50</v>
      </c>
      <c r="E38" s="37">
        <f t="shared" si="0"/>
        <v>15.528571428571428</v>
      </c>
      <c r="F38">
        <v>30</v>
      </c>
      <c r="G38" s="71">
        <f t="shared" si="1"/>
        <v>1.4285714285714286</v>
      </c>
      <c r="H38" s="39">
        <f t="shared" si="2"/>
        <v>50</v>
      </c>
      <c r="I38">
        <v>50</v>
      </c>
      <c r="J38" s="71">
        <f t="shared" si="3"/>
        <v>2.8571428571428574E-2</v>
      </c>
      <c r="K38" s="71">
        <f t="shared" si="4"/>
        <v>15.557142857142857</v>
      </c>
      <c r="L38" s="72">
        <f t="shared" si="5"/>
        <v>45.704996907977709</v>
      </c>
      <c r="M38" s="73">
        <f t="shared" si="6"/>
        <v>1.024916854321529</v>
      </c>
      <c r="N38" s="73">
        <f t="shared" si="7"/>
        <v>0.69835287516438205</v>
      </c>
      <c r="O38" s="74">
        <f t="shared" si="8"/>
        <v>30.1647124835618</v>
      </c>
      <c r="P38" s="75">
        <f t="shared" si="9"/>
        <v>1.4319408361634005</v>
      </c>
      <c r="Q38" s="37">
        <f t="shared" si="10"/>
        <v>2.8638816723268012E-2</v>
      </c>
      <c r="R38" s="43">
        <f t="shared" si="11"/>
        <v>15.557277633446535</v>
      </c>
      <c r="S38" s="76">
        <f t="shared" si="12"/>
        <v>0.71575363201987385</v>
      </c>
      <c r="T38">
        <v>179</v>
      </c>
      <c r="U38" s="44">
        <f t="shared" si="13"/>
        <v>250.08605194898936</v>
      </c>
      <c r="V38">
        <v>41.5</v>
      </c>
      <c r="W38" s="77">
        <f t="shared" si="14"/>
        <v>115.14073617619403</v>
      </c>
      <c r="X38">
        <v>1.44</v>
      </c>
      <c r="Y38" s="47">
        <f t="shared" si="15"/>
        <v>2.8794243539784126</v>
      </c>
      <c r="Z38">
        <v>15.5</v>
      </c>
    </row>
    <row r="39" spans="1:26" ht="15" customHeight="1" thickBot="1">
      <c r="A39">
        <v>16</v>
      </c>
      <c r="B39" t="s">
        <v>167</v>
      </c>
      <c r="C39">
        <v>0.02</v>
      </c>
      <c r="D39">
        <v>50</v>
      </c>
      <c r="E39" s="37">
        <f t="shared" si="0"/>
        <v>16.028571428571428</v>
      </c>
      <c r="F39">
        <v>30</v>
      </c>
      <c r="G39" s="71">
        <f t="shared" si="1"/>
        <v>1.4285714285714286</v>
      </c>
      <c r="H39" s="39">
        <f t="shared" si="2"/>
        <v>50</v>
      </c>
      <c r="I39">
        <v>50</v>
      </c>
      <c r="J39" s="71">
        <f t="shared" si="3"/>
        <v>2.8571428571428574E-2</v>
      </c>
      <c r="K39" s="71">
        <f t="shared" si="4"/>
        <v>16.057142857142857</v>
      </c>
      <c r="L39" s="72">
        <f t="shared" si="5"/>
        <v>44.797183781424707</v>
      </c>
      <c r="M39" s="73">
        <f t="shared" si="6"/>
        <v>0.99294529469474346</v>
      </c>
      <c r="N39" s="73">
        <f t="shared" si="7"/>
        <v>0.70960537945928426</v>
      </c>
      <c r="O39" s="74">
        <f t="shared" si="8"/>
        <v>29.039462054071581</v>
      </c>
      <c r="P39" s="75">
        <f t="shared" si="9"/>
        <v>1.4092339615040617</v>
      </c>
      <c r="Q39" s="37">
        <f t="shared" si="10"/>
        <v>2.8184679230081233E-2</v>
      </c>
      <c r="R39" s="43">
        <f t="shared" si="11"/>
        <v>16.056369358460163</v>
      </c>
      <c r="S39" s="76">
        <f t="shared" si="12"/>
        <v>0.70459932262417424</v>
      </c>
      <c r="T39">
        <v>180</v>
      </c>
      <c r="U39" s="44">
        <f t="shared" si="13"/>
        <v>255.46433869623527</v>
      </c>
      <c r="V39">
        <v>41.5</v>
      </c>
      <c r="W39" s="77">
        <f t="shared" si="14"/>
        <v>115.73394522318212</v>
      </c>
      <c r="X39">
        <v>1.44</v>
      </c>
      <c r="Y39" s="47">
        <f t="shared" si="15"/>
        <v>2.8785426942983365</v>
      </c>
      <c r="Z39">
        <v>16</v>
      </c>
    </row>
    <row r="40" spans="1:26" ht="15" customHeight="1" thickBot="1">
      <c r="A40">
        <v>16.5</v>
      </c>
      <c r="B40" t="s">
        <v>167</v>
      </c>
      <c r="C40">
        <v>0.02</v>
      </c>
      <c r="D40">
        <v>50</v>
      </c>
      <c r="E40" s="37">
        <f t="shared" si="0"/>
        <v>16.528571428571428</v>
      </c>
      <c r="F40">
        <v>30</v>
      </c>
      <c r="G40" s="71">
        <f t="shared" si="1"/>
        <v>1.4285714285714286</v>
      </c>
      <c r="H40" s="39">
        <f t="shared" si="2"/>
        <v>50</v>
      </c>
      <c r="I40">
        <v>50</v>
      </c>
      <c r="J40" s="71">
        <f t="shared" si="3"/>
        <v>2.8571428571428574E-2</v>
      </c>
      <c r="K40" s="71">
        <f t="shared" si="4"/>
        <v>16.557142857142857</v>
      </c>
      <c r="L40" s="72">
        <f t="shared" si="5"/>
        <v>43.917444209191089</v>
      </c>
      <c r="M40" s="73">
        <f t="shared" si="6"/>
        <v>0.96290805587510997</v>
      </c>
      <c r="N40" s="73">
        <f t="shared" si="7"/>
        <v>0.72033997500893021</v>
      </c>
      <c r="O40" s="74">
        <f t="shared" si="8"/>
        <v>27.966002499106978</v>
      </c>
      <c r="P40" s="75">
        <f t="shared" si="9"/>
        <v>1.3882333824214084</v>
      </c>
      <c r="Q40" s="37">
        <f t="shared" si="10"/>
        <v>2.7764667648428169E-2</v>
      </c>
      <c r="R40" s="43">
        <f t="shared" si="11"/>
        <v>16.555529335296857</v>
      </c>
      <c r="S40" s="76">
        <f t="shared" si="12"/>
        <v>0.6936211649049745</v>
      </c>
      <c r="T40">
        <v>181</v>
      </c>
      <c r="U40" s="44">
        <f t="shared" si="13"/>
        <v>260.94936134885222</v>
      </c>
      <c r="V40">
        <v>41.5</v>
      </c>
      <c r="W40" s="77">
        <f t="shared" si="14"/>
        <v>116.33581148643233</v>
      </c>
      <c r="X40">
        <v>1.44</v>
      </c>
      <c r="Y40" s="47">
        <f t="shared" si="15"/>
        <v>2.880455852559781</v>
      </c>
      <c r="Z40">
        <v>16.5</v>
      </c>
    </row>
    <row r="41" spans="1:26" ht="15" customHeight="1" thickBot="1">
      <c r="A41">
        <v>17</v>
      </c>
      <c r="B41" t="s">
        <v>167</v>
      </c>
      <c r="C41">
        <v>0.02</v>
      </c>
      <c r="D41">
        <v>55</v>
      </c>
      <c r="E41" s="37">
        <f t="shared" ref="E41:E72" si="16">A41+J41</f>
        <v>17.028571428571428</v>
      </c>
      <c r="F41">
        <v>30</v>
      </c>
      <c r="G41" s="71">
        <f t="shared" ref="G41:G72" si="17">100/(100-F41)</f>
        <v>1.4285714285714286</v>
      </c>
      <c r="H41" s="39">
        <f t="shared" ref="H41:H72" si="18">3.1415926*E41*M41</f>
        <v>54.999999999999993</v>
      </c>
      <c r="I41">
        <v>55</v>
      </c>
      <c r="J41" s="71">
        <f t="shared" ref="J41:J72" si="19">G41*C41</f>
        <v>2.8571428571428574E-2</v>
      </c>
      <c r="K41" s="71">
        <f t="shared" ref="K41:K72" si="20">A41+2*J41</f>
        <v>17.057142857142857</v>
      </c>
      <c r="L41" s="72">
        <f t="shared" ref="L41:L72" si="21">ATAN(I41/(3.1415926*(A41+J41)))*180/3.1415926</f>
        <v>45.793752592781573</v>
      </c>
      <c r="M41" s="73">
        <f t="shared" ref="M41:M72" si="22">I41/(3.1415926*(A41+J41))</f>
        <v>1.0280982237518894</v>
      </c>
      <c r="N41" s="73">
        <f t="shared" ref="N41:N72" si="23">COS(L41*3.1415926/180)</f>
        <v>0.69724327885704096</v>
      </c>
      <c r="O41" s="74">
        <f t="shared" ref="O41:O72" si="24">(D41-I41*N41)/D41*100</f>
        <v>30.275672114295908</v>
      </c>
      <c r="P41" s="75">
        <f t="shared" ref="P41:P72" si="25">100/(100-O41)</f>
        <v>1.4342196336969419</v>
      </c>
      <c r="Q41" s="37">
        <f t="shared" ref="Q41:Q72" si="26">P41*C41</f>
        <v>2.8684392673938838E-2</v>
      </c>
      <c r="R41" s="43">
        <f t="shared" ref="R41:R72" si="27">A41+2*Q41</f>
        <v>17.057368785347876</v>
      </c>
      <c r="S41" s="76">
        <f t="shared" ref="S41:S72" si="28">SIN(L41*3.1415926/180)</f>
        <v>0.71683457651586713</v>
      </c>
      <c r="T41">
        <v>182</v>
      </c>
      <c r="U41" s="44">
        <f t="shared" ref="U41:U72" si="29">T41/S41</f>
        <v>253.89400283200686</v>
      </c>
      <c r="V41">
        <v>41.5</v>
      </c>
      <c r="W41" s="77">
        <f t="shared" ref="W41:W72" si="30">2*SQRT((1000*U41*C41/3.1415926)+(V41*V41))</f>
        <v>115.56105659703603</v>
      </c>
      <c r="X41">
        <v>1.44</v>
      </c>
      <c r="Y41" s="47">
        <f t="shared" ref="Y41:Y72" si="31">3.14*(A41+Q41)*Q41*X41*P41</f>
        <v>3.1676308149562447</v>
      </c>
      <c r="Z41">
        <v>17</v>
      </c>
    </row>
    <row r="42" spans="1:26" ht="15" customHeight="1" thickBot="1">
      <c r="A42">
        <v>17.5</v>
      </c>
      <c r="B42" t="s">
        <v>167</v>
      </c>
      <c r="C42">
        <v>0.02</v>
      </c>
      <c r="D42">
        <v>55</v>
      </c>
      <c r="E42" s="37">
        <f t="shared" si="16"/>
        <v>17.528571428571428</v>
      </c>
      <c r="F42">
        <v>30</v>
      </c>
      <c r="G42" s="71">
        <f t="shared" si="17"/>
        <v>1.4285714285714286</v>
      </c>
      <c r="H42" s="39">
        <f t="shared" si="18"/>
        <v>55</v>
      </c>
      <c r="I42">
        <v>55</v>
      </c>
      <c r="J42" s="71">
        <f t="shared" si="19"/>
        <v>2.8571428571428574E-2</v>
      </c>
      <c r="K42" s="71">
        <f t="shared" si="20"/>
        <v>17.557142857142857</v>
      </c>
      <c r="L42" s="72">
        <f t="shared" si="21"/>
        <v>44.964795778914514</v>
      </c>
      <c r="M42" s="73">
        <f t="shared" si="22"/>
        <v>0.99877186855114297</v>
      </c>
      <c r="N42" s="73">
        <f t="shared" si="23"/>
        <v>0.70754112445910711</v>
      </c>
      <c r="O42" s="74">
        <f t="shared" si="24"/>
        <v>29.245887554089283</v>
      </c>
      <c r="P42" s="75">
        <f t="shared" si="25"/>
        <v>1.4133454090947271</v>
      </c>
      <c r="Q42" s="37">
        <f t="shared" si="26"/>
        <v>2.8266908181894541E-2</v>
      </c>
      <c r="R42" s="43">
        <f t="shared" si="27"/>
        <v>17.556533816363789</v>
      </c>
      <c r="S42" s="76">
        <f t="shared" si="28"/>
        <v>0.70667217095279922</v>
      </c>
      <c r="T42">
        <v>183</v>
      </c>
      <c r="U42" s="44">
        <f t="shared" si="29"/>
        <v>258.96024708778737</v>
      </c>
      <c r="V42">
        <v>41.5</v>
      </c>
      <c r="W42" s="77">
        <f t="shared" si="30"/>
        <v>116.11790841476174</v>
      </c>
      <c r="X42">
        <v>1.44</v>
      </c>
      <c r="Y42" s="47">
        <f t="shared" si="31"/>
        <v>3.1663413947313095</v>
      </c>
      <c r="Z42">
        <v>17.5</v>
      </c>
    </row>
    <row r="43" spans="1:26" ht="15" customHeight="1" thickBot="1">
      <c r="A43">
        <v>18</v>
      </c>
      <c r="B43" t="s">
        <v>167</v>
      </c>
      <c r="C43">
        <v>0.02</v>
      </c>
      <c r="D43">
        <v>55</v>
      </c>
      <c r="E43" s="37">
        <f t="shared" si="16"/>
        <v>18.028571428571428</v>
      </c>
      <c r="F43">
        <v>30</v>
      </c>
      <c r="G43" s="71">
        <f t="shared" si="17"/>
        <v>1.4285714285714286</v>
      </c>
      <c r="H43" s="39">
        <f t="shared" si="18"/>
        <v>55</v>
      </c>
      <c r="I43">
        <v>55</v>
      </c>
      <c r="J43" s="71">
        <f t="shared" si="19"/>
        <v>2.8571428571428574E-2</v>
      </c>
      <c r="K43" s="71">
        <f t="shared" si="20"/>
        <v>18.057142857142857</v>
      </c>
      <c r="L43" s="72">
        <f t="shared" si="21"/>
        <v>44.159177459865298</v>
      </c>
      <c r="M43" s="73">
        <f t="shared" si="22"/>
        <v>0.97107217330606377</v>
      </c>
      <c r="N43" s="73">
        <f t="shared" si="23"/>
        <v>0.71740715638626873</v>
      </c>
      <c r="O43" s="74">
        <f t="shared" si="24"/>
        <v>28.259284361373123</v>
      </c>
      <c r="P43" s="75">
        <f t="shared" si="25"/>
        <v>1.3939085930466752</v>
      </c>
      <c r="Q43" s="37">
        <f t="shared" si="26"/>
        <v>2.7878171860933505E-2</v>
      </c>
      <c r="R43" s="43">
        <f t="shared" si="27"/>
        <v>18.055756343721868</v>
      </c>
      <c r="S43" s="76">
        <f t="shared" si="28"/>
        <v>0.69665412649733716</v>
      </c>
      <c r="T43">
        <v>184</v>
      </c>
      <c r="U43" s="44">
        <f t="shared" si="29"/>
        <v>264.11958675264276</v>
      </c>
      <c r="V43">
        <v>41.5</v>
      </c>
      <c r="W43" s="77">
        <f t="shared" si="30"/>
        <v>116.6822615592465</v>
      </c>
      <c r="X43">
        <v>1.44</v>
      </c>
      <c r="Y43" s="47">
        <f t="shared" si="31"/>
        <v>3.167636518790514</v>
      </c>
      <c r="Z43">
        <v>18</v>
      </c>
    </row>
    <row r="44" spans="1:26" ht="15" customHeight="1" thickBot="1">
      <c r="A44">
        <v>18.5</v>
      </c>
      <c r="B44" t="s">
        <v>167</v>
      </c>
      <c r="C44">
        <v>0.02</v>
      </c>
      <c r="D44">
        <v>60</v>
      </c>
      <c r="E44" s="37">
        <f t="shared" si="16"/>
        <v>18.528571428571428</v>
      </c>
      <c r="F44">
        <v>30</v>
      </c>
      <c r="G44" s="71">
        <f t="shared" si="17"/>
        <v>1.4285714285714286</v>
      </c>
      <c r="H44" s="39">
        <f t="shared" si="18"/>
        <v>60.000000000000007</v>
      </c>
      <c r="I44">
        <v>60</v>
      </c>
      <c r="J44" s="71">
        <f t="shared" si="19"/>
        <v>2.8571428571428574E-2</v>
      </c>
      <c r="K44" s="71">
        <f t="shared" si="20"/>
        <v>18.557142857142857</v>
      </c>
      <c r="L44" s="72">
        <f t="shared" si="21"/>
        <v>45.867920560132731</v>
      </c>
      <c r="M44" s="73">
        <f t="shared" si="22"/>
        <v>1.0307644909614515</v>
      </c>
      <c r="N44" s="73">
        <f t="shared" si="23"/>
        <v>0.69631477035549327</v>
      </c>
      <c r="O44" s="74">
        <f t="shared" si="24"/>
        <v>30.368522964450666</v>
      </c>
      <c r="P44" s="75">
        <f t="shared" si="25"/>
        <v>1.4361321094617374</v>
      </c>
      <c r="Q44" s="37">
        <f t="shared" si="26"/>
        <v>2.8722642189234749E-2</v>
      </c>
      <c r="R44" s="43">
        <f t="shared" si="27"/>
        <v>18.557445284378471</v>
      </c>
      <c r="S44" s="76">
        <f t="shared" si="28"/>
        <v>0.71773653981442009</v>
      </c>
      <c r="T44">
        <v>185</v>
      </c>
      <c r="U44" s="44">
        <f t="shared" si="29"/>
        <v>257.75474667603532</v>
      </c>
      <c r="V44">
        <v>41.5</v>
      </c>
      <c r="W44" s="77">
        <f t="shared" si="30"/>
        <v>115.98564927691098</v>
      </c>
      <c r="X44">
        <v>1.44</v>
      </c>
      <c r="Y44" s="47">
        <f t="shared" si="31"/>
        <v>3.4558620728615721</v>
      </c>
      <c r="Z44">
        <v>18.5</v>
      </c>
    </row>
    <row r="45" spans="1:26" ht="15" customHeight="1" thickBot="1">
      <c r="A45">
        <v>19</v>
      </c>
      <c r="B45" t="s">
        <v>167</v>
      </c>
      <c r="C45">
        <v>0.02</v>
      </c>
      <c r="D45">
        <v>60</v>
      </c>
      <c r="E45" s="37">
        <f t="shared" si="16"/>
        <v>19.028571428571428</v>
      </c>
      <c r="F45">
        <v>30</v>
      </c>
      <c r="G45" s="71">
        <f t="shared" si="17"/>
        <v>1.4285714285714286</v>
      </c>
      <c r="H45" s="39">
        <f t="shared" si="18"/>
        <v>60</v>
      </c>
      <c r="I45">
        <v>60</v>
      </c>
      <c r="J45" s="71">
        <f t="shared" si="19"/>
        <v>2.8571428571428574E-2</v>
      </c>
      <c r="K45" s="71">
        <f t="shared" si="20"/>
        <v>19.057142857142857</v>
      </c>
      <c r="L45" s="72">
        <f t="shared" si="21"/>
        <v>45.105226649183919</v>
      </c>
      <c r="M45" s="73">
        <f t="shared" si="22"/>
        <v>1.0036798384211731</v>
      </c>
      <c r="N45" s="73">
        <f t="shared" si="23"/>
        <v>0.70580696091019013</v>
      </c>
      <c r="O45" s="74">
        <f t="shared" si="24"/>
        <v>29.419303908980982</v>
      </c>
      <c r="P45" s="75">
        <f t="shared" si="25"/>
        <v>1.4168179904466034</v>
      </c>
      <c r="Q45" s="37">
        <f t="shared" si="26"/>
        <v>2.8336359808932069E-2</v>
      </c>
      <c r="R45" s="43">
        <f t="shared" si="27"/>
        <v>19.056672719617865</v>
      </c>
      <c r="S45" s="76">
        <f t="shared" si="28"/>
        <v>0.70840421648287877</v>
      </c>
      <c r="T45">
        <v>186</v>
      </c>
      <c r="U45" s="44">
        <f t="shared" si="29"/>
        <v>262.56196063239469</v>
      </c>
      <c r="V45">
        <v>41.5</v>
      </c>
      <c r="W45" s="77">
        <f t="shared" si="30"/>
        <v>116.51216905739744</v>
      </c>
      <c r="X45">
        <v>1.44</v>
      </c>
      <c r="Y45" s="47">
        <f t="shared" si="31"/>
        <v>3.454228643597355</v>
      </c>
      <c r="Z45">
        <v>19</v>
      </c>
    </row>
    <row r="46" spans="1:26" ht="15" customHeight="1" thickBot="1">
      <c r="A46">
        <v>19.5</v>
      </c>
      <c r="B46" t="s">
        <v>167</v>
      </c>
      <c r="C46">
        <v>0.02</v>
      </c>
      <c r="D46">
        <v>60</v>
      </c>
      <c r="E46" s="37">
        <f t="shared" si="16"/>
        <v>19.528571428571428</v>
      </c>
      <c r="F46">
        <v>30</v>
      </c>
      <c r="G46" s="71">
        <f t="shared" si="17"/>
        <v>1.4285714285714286</v>
      </c>
      <c r="H46" s="39">
        <f t="shared" si="18"/>
        <v>60</v>
      </c>
      <c r="I46">
        <v>60</v>
      </c>
      <c r="J46" s="71">
        <f t="shared" si="19"/>
        <v>2.8571428571428574E-2</v>
      </c>
      <c r="K46" s="71">
        <f t="shared" si="20"/>
        <v>19.557142857142857</v>
      </c>
      <c r="L46" s="72">
        <f t="shared" si="21"/>
        <v>44.36223965388983</v>
      </c>
      <c r="M46" s="73">
        <f t="shared" si="22"/>
        <v>0.97798211029773419</v>
      </c>
      <c r="N46" s="73">
        <f t="shared" si="23"/>
        <v>0.71493364145671634</v>
      </c>
      <c r="O46" s="74">
        <f t="shared" si="24"/>
        <v>28.506635854328362</v>
      </c>
      <c r="P46" s="75">
        <f t="shared" si="25"/>
        <v>1.3987312136584389</v>
      </c>
      <c r="Q46" s="37">
        <f t="shared" si="26"/>
        <v>2.7974624273168779E-2</v>
      </c>
      <c r="R46" s="43">
        <f t="shared" si="27"/>
        <v>19.555949248546337</v>
      </c>
      <c r="S46" s="76">
        <f t="shared" si="28"/>
        <v>0.69919231139468307</v>
      </c>
      <c r="T46">
        <v>187</v>
      </c>
      <c r="U46" s="44">
        <f t="shared" si="29"/>
        <v>267.45145355930759</v>
      </c>
      <c r="V46">
        <v>41.5</v>
      </c>
      <c r="W46" s="77">
        <f t="shared" si="30"/>
        <v>117.0452709661883</v>
      </c>
      <c r="X46">
        <v>1.44</v>
      </c>
      <c r="Y46" s="47">
        <f t="shared" si="31"/>
        <v>3.4549985626853545</v>
      </c>
      <c r="Z46">
        <v>19.5</v>
      </c>
    </row>
    <row r="47" spans="1:26" ht="15" customHeight="1" thickBot="1">
      <c r="A47">
        <v>20</v>
      </c>
      <c r="B47" t="s">
        <v>167</v>
      </c>
      <c r="C47">
        <v>0.02</v>
      </c>
      <c r="D47">
        <v>60</v>
      </c>
      <c r="E47" s="37">
        <f t="shared" si="16"/>
        <v>20.028571428571428</v>
      </c>
      <c r="F47">
        <v>30</v>
      </c>
      <c r="G47" s="71">
        <f t="shared" si="17"/>
        <v>1.4285714285714286</v>
      </c>
      <c r="H47" s="39">
        <f t="shared" si="18"/>
        <v>60</v>
      </c>
      <c r="I47">
        <v>60</v>
      </c>
      <c r="J47" s="71">
        <f t="shared" si="19"/>
        <v>2.8571428571428574E-2</v>
      </c>
      <c r="K47" s="71">
        <f t="shared" si="20"/>
        <v>20.057142857142857</v>
      </c>
      <c r="L47" s="72">
        <f t="shared" si="21"/>
        <v>43.638445919295783</v>
      </c>
      <c r="M47" s="73">
        <f t="shared" si="22"/>
        <v>0.95356743564693469</v>
      </c>
      <c r="N47" s="73">
        <f t="shared" si="23"/>
        <v>0.72370896726328604</v>
      </c>
      <c r="O47" s="74">
        <f t="shared" si="24"/>
        <v>27.629103273671401</v>
      </c>
      <c r="P47" s="75">
        <f t="shared" si="25"/>
        <v>1.3817709123897026</v>
      </c>
      <c r="Q47" s="37">
        <f t="shared" si="26"/>
        <v>2.7635418247794055E-2</v>
      </c>
      <c r="R47" s="43">
        <f t="shared" si="27"/>
        <v>20.055270836495588</v>
      </c>
      <c r="S47" s="76">
        <f t="shared" si="28"/>
        <v>0.6901053040679429</v>
      </c>
      <c r="T47">
        <v>188</v>
      </c>
      <c r="U47" s="44">
        <f t="shared" si="29"/>
        <v>272.42219251439172</v>
      </c>
      <c r="V47">
        <v>41.5</v>
      </c>
      <c r="W47" s="77">
        <f t="shared" si="30"/>
        <v>117.58475362814268</v>
      </c>
      <c r="X47">
        <v>1.44</v>
      </c>
      <c r="Y47" s="47">
        <f t="shared" si="31"/>
        <v>3.4579913694572753</v>
      </c>
      <c r="Z47">
        <v>20</v>
      </c>
    </row>
    <row r="48" spans="1:26" ht="15" customHeight="1" thickBot="1">
      <c r="A48">
        <v>20.5</v>
      </c>
      <c r="B48" t="s">
        <v>167</v>
      </c>
      <c r="C48">
        <v>0.02</v>
      </c>
      <c r="D48">
        <v>65</v>
      </c>
      <c r="E48" s="37">
        <f t="shared" si="16"/>
        <v>20.528571428571428</v>
      </c>
      <c r="F48">
        <v>30</v>
      </c>
      <c r="G48" s="71">
        <f t="shared" si="17"/>
        <v>1.4285714285714286</v>
      </c>
      <c r="H48" s="39">
        <f t="shared" si="18"/>
        <v>65</v>
      </c>
      <c r="I48">
        <v>65</v>
      </c>
      <c r="J48" s="71">
        <f t="shared" si="19"/>
        <v>2.8571428571428574E-2</v>
      </c>
      <c r="K48" s="71">
        <f t="shared" si="20"/>
        <v>20.557142857142857</v>
      </c>
      <c r="L48" s="72">
        <f t="shared" si="21"/>
        <v>45.224590967235848</v>
      </c>
      <c r="M48" s="73">
        <f t="shared" si="22"/>
        <v>1.0078705684354579</v>
      </c>
      <c r="N48" s="73">
        <f t="shared" si="23"/>
        <v>0.70432961159406382</v>
      </c>
      <c r="O48" s="74">
        <f t="shared" si="24"/>
        <v>29.567038840593618</v>
      </c>
      <c r="P48" s="75">
        <f t="shared" si="25"/>
        <v>1.4197898023011761</v>
      </c>
      <c r="Q48" s="37">
        <f t="shared" si="26"/>
        <v>2.8395796046023523E-2</v>
      </c>
      <c r="R48" s="43">
        <f t="shared" si="27"/>
        <v>20.556791592092047</v>
      </c>
      <c r="S48" s="76">
        <f t="shared" si="28"/>
        <v>0.70987308600323429</v>
      </c>
      <c r="T48">
        <v>189</v>
      </c>
      <c r="U48" s="44">
        <f t="shared" si="29"/>
        <v>266.24477491338342</v>
      </c>
      <c r="V48">
        <v>41.5</v>
      </c>
      <c r="W48" s="77">
        <f t="shared" si="30"/>
        <v>116.91393259842351</v>
      </c>
      <c r="X48">
        <v>1.44</v>
      </c>
      <c r="Y48" s="47">
        <f t="shared" si="31"/>
        <v>3.7421849975284949</v>
      </c>
      <c r="Z48">
        <v>20.5</v>
      </c>
    </row>
    <row r="49" spans="1:26" ht="15" customHeight="1" thickBot="1">
      <c r="A49">
        <v>21</v>
      </c>
      <c r="B49" t="s">
        <v>167</v>
      </c>
      <c r="C49">
        <v>0.02</v>
      </c>
      <c r="D49">
        <v>65</v>
      </c>
      <c r="E49" s="37">
        <f t="shared" si="16"/>
        <v>21.028571428571428</v>
      </c>
      <c r="F49">
        <v>30</v>
      </c>
      <c r="G49" s="71">
        <f t="shared" si="17"/>
        <v>1.4285714285714286</v>
      </c>
      <c r="H49" s="39">
        <f t="shared" si="18"/>
        <v>65</v>
      </c>
      <c r="I49">
        <v>65</v>
      </c>
      <c r="J49" s="71">
        <f t="shared" si="19"/>
        <v>2.8571428571428574E-2</v>
      </c>
      <c r="K49" s="71">
        <f t="shared" si="20"/>
        <v>21.057142857142857</v>
      </c>
      <c r="L49" s="72">
        <f t="shared" si="21"/>
        <v>44.5352189904307</v>
      </c>
      <c r="M49" s="73">
        <f t="shared" si="22"/>
        <v>0.9839062546479298</v>
      </c>
      <c r="N49" s="73">
        <f t="shared" si="23"/>
        <v>0.71281948368024572</v>
      </c>
      <c r="O49" s="74">
        <f t="shared" si="24"/>
        <v>28.71805163197542</v>
      </c>
      <c r="P49" s="75">
        <f t="shared" si="25"/>
        <v>1.4028797232604497</v>
      </c>
      <c r="Q49" s="37">
        <f t="shared" si="26"/>
        <v>2.8057594465208995E-2</v>
      </c>
      <c r="R49" s="43">
        <f t="shared" si="27"/>
        <v>21.056115188930416</v>
      </c>
      <c r="S49" s="76">
        <f t="shared" si="28"/>
        <v>0.7013475484279017</v>
      </c>
      <c r="T49">
        <v>190</v>
      </c>
      <c r="U49" s="44">
        <f t="shared" si="29"/>
        <v>270.90705660252542</v>
      </c>
      <c r="V49">
        <v>41.5</v>
      </c>
      <c r="W49" s="77">
        <f t="shared" si="30"/>
        <v>117.42057599058239</v>
      </c>
      <c r="X49">
        <v>1.44</v>
      </c>
      <c r="Y49" s="47">
        <f t="shared" si="31"/>
        <v>3.7425031101963371</v>
      </c>
      <c r="Z49">
        <v>21</v>
      </c>
    </row>
    <row r="50" spans="1:26" ht="15" customHeight="1" thickBot="1">
      <c r="A50">
        <v>21.5</v>
      </c>
      <c r="B50" t="s">
        <v>167</v>
      </c>
      <c r="C50">
        <v>0.02</v>
      </c>
      <c r="D50">
        <v>65</v>
      </c>
      <c r="E50" s="37">
        <f t="shared" si="16"/>
        <v>21.528571428571428</v>
      </c>
      <c r="F50">
        <v>30</v>
      </c>
      <c r="G50" s="71">
        <f t="shared" si="17"/>
        <v>1.4285714285714286</v>
      </c>
      <c r="H50" s="39">
        <f t="shared" si="18"/>
        <v>65</v>
      </c>
      <c r="I50">
        <v>65</v>
      </c>
      <c r="J50" s="71">
        <f t="shared" si="19"/>
        <v>2.8571428571428574E-2</v>
      </c>
      <c r="K50" s="71">
        <f t="shared" si="20"/>
        <v>21.557142857142857</v>
      </c>
      <c r="L50" s="72">
        <f t="shared" si="21"/>
        <v>43.862303877812579</v>
      </c>
      <c r="M50" s="73">
        <f t="shared" si="22"/>
        <v>0.96105508085053271</v>
      </c>
      <c r="N50" s="73">
        <f t="shared" si="23"/>
        <v>0.72100716868156767</v>
      </c>
      <c r="O50" s="74">
        <f t="shared" si="24"/>
        <v>27.899283131843234</v>
      </c>
      <c r="P50" s="75">
        <f t="shared" si="25"/>
        <v>1.3869487620055125</v>
      </c>
      <c r="Q50" s="37">
        <f t="shared" si="26"/>
        <v>2.773897524011025E-2</v>
      </c>
      <c r="R50" s="43">
        <f t="shared" si="27"/>
        <v>21.555477950480221</v>
      </c>
      <c r="S50" s="76">
        <f t="shared" si="28"/>
        <v>0.69292760279107757</v>
      </c>
      <c r="T50">
        <v>191</v>
      </c>
      <c r="U50" s="44">
        <f t="shared" si="29"/>
        <v>275.64207174120588</v>
      </c>
      <c r="V50">
        <v>41.5</v>
      </c>
      <c r="W50" s="77">
        <f t="shared" si="30"/>
        <v>117.93289548894614</v>
      </c>
      <c r="X50">
        <v>1.44</v>
      </c>
      <c r="Y50" s="47">
        <f t="shared" si="31"/>
        <v>3.7449100374673092</v>
      </c>
      <c r="Z50">
        <v>21.5</v>
      </c>
    </row>
    <row r="51" spans="1:26" ht="15" customHeight="1" thickBot="1">
      <c r="A51">
        <v>22</v>
      </c>
      <c r="B51" t="s">
        <v>167</v>
      </c>
      <c r="C51">
        <v>0.02</v>
      </c>
      <c r="D51">
        <v>70</v>
      </c>
      <c r="E51" s="37">
        <f t="shared" si="16"/>
        <v>22.028571428571428</v>
      </c>
      <c r="F51">
        <v>30</v>
      </c>
      <c r="G51" s="71">
        <f t="shared" si="17"/>
        <v>1.4285714285714286</v>
      </c>
      <c r="H51" s="39">
        <f t="shared" si="18"/>
        <v>70</v>
      </c>
      <c r="I51">
        <v>70</v>
      </c>
      <c r="J51" s="71">
        <f t="shared" si="19"/>
        <v>2.8571428571428574E-2</v>
      </c>
      <c r="K51" s="71">
        <f t="shared" si="20"/>
        <v>22.057142857142857</v>
      </c>
      <c r="L51" s="72">
        <f t="shared" si="21"/>
        <v>45.327297546092957</v>
      </c>
      <c r="M51" s="73">
        <f t="shared" si="22"/>
        <v>1.0114905764633613</v>
      </c>
      <c r="N51" s="73">
        <f t="shared" si="23"/>
        <v>0.70305598493361765</v>
      </c>
      <c r="O51" s="74">
        <f t="shared" si="24"/>
        <v>29.694401506638236</v>
      </c>
      <c r="P51" s="75">
        <f t="shared" si="25"/>
        <v>1.4223618338081847</v>
      </c>
      <c r="Q51" s="37">
        <f t="shared" si="26"/>
        <v>2.8447236676163695E-2</v>
      </c>
      <c r="R51" s="43">
        <f t="shared" si="27"/>
        <v>22.056894473352326</v>
      </c>
      <c r="S51" s="76">
        <f t="shared" si="28"/>
        <v>0.71113450348652107</v>
      </c>
      <c r="T51">
        <v>192</v>
      </c>
      <c r="U51" s="44">
        <f t="shared" si="29"/>
        <v>269.99111849962316</v>
      </c>
      <c r="V51">
        <v>41.5</v>
      </c>
      <c r="W51" s="77">
        <f t="shared" si="30"/>
        <v>117.32121501799821</v>
      </c>
      <c r="X51">
        <v>1.44</v>
      </c>
      <c r="Y51" s="47">
        <f t="shared" si="31"/>
        <v>4.0301963171673671</v>
      </c>
      <c r="Z51">
        <v>22</v>
      </c>
    </row>
    <row r="52" spans="1:26" ht="15" customHeight="1" thickBot="1">
      <c r="A52">
        <v>22.5</v>
      </c>
      <c r="B52" t="s">
        <v>167</v>
      </c>
      <c r="C52">
        <v>0.02</v>
      </c>
      <c r="D52">
        <v>70</v>
      </c>
      <c r="E52" s="37">
        <f t="shared" si="16"/>
        <v>22.528571428571428</v>
      </c>
      <c r="F52">
        <v>30</v>
      </c>
      <c r="G52" s="71">
        <f t="shared" si="17"/>
        <v>1.4285714285714286</v>
      </c>
      <c r="H52" s="39">
        <f t="shared" si="18"/>
        <v>70</v>
      </c>
      <c r="I52">
        <v>70</v>
      </c>
      <c r="J52" s="71">
        <f t="shared" si="19"/>
        <v>2.8571428571428574E-2</v>
      </c>
      <c r="K52" s="71">
        <f t="shared" si="20"/>
        <v>22.557142857142857</v>
      </c>
      <c r="L52" s="72">
        <f t="shared" si="21"/>
        <v>44.68433686481503</v>
      </c>
      <c r="M52" s="73">
        <f t="shared" si="22"/>
        <v>0.9890415148424242</v>
      </c>
      <c r="N52" s="73">
        <f t="shared" si="23"/>
        <v>0.71099174598268711</v>
      </c>
      <c r="O52" s="74">
        <f t="shared" si="24"/>
        <v>28.900825401731296</v>
      </c>
      <c r="P52" s="75">
        <f t="shared" si="25"/>
        <v>1.4064860888333723</v>
      </c>
      <c r="Q52" s="37">
        <f t="shared" si="26"/>
        <v>2.8129721776667449E-2</v>
      </c>
      <c r="R52" s="43">
        <f t="shared" si="27"/>
        <v>22.556259443553333</v>
      </c>
      <c r="S52" s="76">
        <f t="shared" si="28"/>
        <v>0.70320035348717669</v>
      </c>
      <c r="T52">
        <v>193</v>
      </c>
      <c r="U52" s="44">
        <f t="shared" si="29"/>
        <v>274.45947523051052</v>
      </c>
      <c r="V52">
        <v>41.5</v>
      </c>
      <c r="W52" s="77">
        <f t="shared" si="30"/>
        <v>117.80514956925836</v>
      </c>
      <c r="X52">
        <v>1.44</v>
      </c>
      <c r="Y52" s="47">
        <f t="shared" si="31"/>
        <v>4.0301216549260763</v>
      </c>
      <c r="Z52">
        <v>22.5</v>
      </c>
    </row>
    <row r="53" spans="1:26" ht="15" customHeight="1" thickBot="1">
      <c r="A53">
        <v>23</v>
      </c>
      <c r="B53" t="s">
        <v>167</v>
      </c>
      <c r="C53">
        <v>0.02</v>
      </c>
      <c r="D53">
        <v>70</v>
      </c>
      <c r="E53" s="37">
        <f t="shared" si="16"/>
        <v>23.028571428571428</v>
      </c>
      <c r="F53">
        <v>30</v>
      </c>
      <c r="G53" s="71">
        <f t="shared" si="17"/>
        <v>1.4285714285714286</v>
      </c>
      <c r="H53" s="39">
        <f t="shared" si="18"/>
        <v>70</v>
      </c>
      <c r="I53">
        <v>70</v>
      </c>
      <c r="J53" s="71">
        <f t="shared" si="19"/>
        <v>2.8571428571428574E-2</v>
      </c>
      <c r="K53" s="71">
        <f t="shared" si="20"/>
        <v>23.057142857142857</v>
      </c>
      <c r="L53" s="72">
        <f t="shared" si="21"/>
        <v>44.055642086886181</v>
      </c>
      <c r="M53" s="73">
        <f t="shared" si="22"/>
        <v>0.9675672884035379</v>
      </c>
      <c r="N53" s="73">
        <f t="shared" si="23"/>
        <v>0.71866486148176012</v>
      </c>
      <c r="O53" s="74">
        <f t="shared" si="24"/>
        <v>28.133513851823988</v>
      </c>
      <c r="P53" s="75">
        <f t="shared" si="25"/>
        <v>1.3914691723457531</v>
      </c>
      <c r="Q53" s="37">
        <f t="shared" si="26"/>
        <v>2.7829383446915063E-2</v>
      </c>
      <c r="R53" s="43">
        <f t="shared" si="27"/>
        <v>23.055658766893831</v>
      </c>
      <c r="S53" s="76">
        <f t="shared" si="28"/>
        <v>0.69535661129481086</v>
      </c>
      <c r="T53">
        <v>194</v>
      </c>
      <c r="U53" s="44">
        <f t="shared" si="29"/>
        <v>278.99353633634996</v>
      </c>
      <c r="V53">
        <v>41.5</v>
      </c>
      <c r="W53" s="77">
        <f t="shared" si="30"/>
        <v>118.29417646261737</v>
      </c>
      <c r="X53">
        <v>1.44</v>
      </c>
      <c r="Y53" s="47">
        <f t="shared" si="31"/>
        <v>4.0320166520348693</v>
      </c>
      <c r="Z53">
        <v>23</v>
      </c>
    </row>
    <row r="54" spans="1:26" ht="15" customHeight="1" thickBot="1">
      <c r="A54">
        <v>23.5</v>
      </c>
      <c r="B54" t="s">
        <v>167</v>
      </c>
      <c r="C54">
        <v>0.02</v>
      </c>
      <c r="D54">
        <v>70</v>
      </c>
      <c r="E54" s="37">
        <f t="shared" si="16"/>
        <v>23.528571428571428</v>
      </c>
      <c r="F54">
        <v>30</v>
      </c>
      <c r="G54" s="71">
        <f t="shared" si="17"/>
        <v>1.4285714285714286</v>
      </c>
      <c r="H54" s="39">
        <f t="shared" si="18"/>
        <v>70</v>
      </c>
      <c r="I54">
        <v>70</v>
      </c>
      <c r="J54" s="71">
        <f t="shared" si="19"/>
        <v>2.8571428571428574E-2</v>
      </c>
      <c r="K54" s="71">
        <f t="shared" si="20"/>
        <v>23.557142857142857</v>
      </c>
      <c r="L54" s="72">
        <f t="shared" si="21"/>
        <v>43.440890075212117</v>
      </c>
      <c r="M54" s="73">
        <f t="shared" si="22"/>
        <v>0.94700574918427638</v>
      </c>
      <c r="N54" s="73">
        <f t="shared" si="23"/>
        <v>0.72608414357572626</v>
      </c>
      <c r="O54" s="74">
        <f t="shared" si="24"/>
        <v>27.39158564242738</v>
      </c>
      <c r="P54" s="75">
        <f t="shared" si="25"/>
        <v>1.3772508446133089</v>
      </c>
      <c r="Q54" s="37">
        <f t="shared" si="26"/>
        <v>2.754501689226618E-2</v>
      </c>
      <c r="R54" s="43">
        <f t="shared" si="27"/>
        <v>23.555090033784531</v>
      </c>
      <c r="S54" s="76">
        <f t="shared" si="28"/>
        <v>0.68760585835775434</v>
      </c>
      <c r="T54">
        <v>195</v>
      </c>
      <c r="U54" s="44">
        <f t="shared" si="29"/>
        <v>283.5926972258917</v>
      </c>
      <c r="V54">
        <v>41.5</v>
      </c>
      <c r="W54" s="77">
        <f t="shared" si="30"/>
        <v>118.78816800216228</v>
      </c>
      <c r="X54">
        <v>1.44</v>
      </c>
      <c r="Y54" s="47">
        <f t="shared" si="31"/>
        <v>4.0357554660606212</v>
      </c>
      <c r="Z54">
        <v>23.5</v>
      </c>
    </row>
    <row r="55" spans="1:26" ht="15" customHeight="1" thickBot="1">
      <c r="A55">
        <v>24</v>
      </c>
      <c r="B55" t="s">
        <v>167</v>
      </c>
      <c r="C55">
        <v>0.02</v>
      </c>
      <c r="D55">
        <v>75</v>
      </c>
      <c r="E55" s="37">
        <f t="shared" si="16"/>
        <v>24.028571428571428</v>
      </c>
      <c r="F55">
        <v>30</v>
      </c>
      <c r="G55" s="71">
        <f t="shared" si="17"/>
        <v>1.4285714285714286</v>
      </c>
      <c r="H55" s="39">
        <f t="shared" si="18"/>
        <v>75</v>
      </c>
      <c r="I55">
        <v>75</v>
      </c>
      <c r="J55" s="71">
        <f t="shared" si="19"/>
        <v>2.8571428571428574E-2</v>
      </c>
      <c r="K55" s="71">
        <f t="shared" si="20"/>
        <v>24.057142857142857</v>
      </c>
      <c r="L55" s="72">
        <f t="shared" si="21"/>
        <v>44.814210367896685</v>
      </c>
      <c r="M55" s="73">
        <f t="shared" si="22"/>
        <v>0.99353563077957974</v>
      </c>
      <c r="N55" s="73">
        <f t="shared" si="23"/>
        <v>0.70939596235661551</v>
      </c>
      <c r="O55" s="74">
        <f t="shared" si="24"/>
        <v>29.060403764338442</v>
      </c>
      <c r="P55" s="75">
        <f t="shared" si="25"/>
        <v>1.4096499741526538</v>
      </c>
      <c r="Q55" s="37">
        <f t="shared" si="26"/>
        <v>2.8192999483053077E-2</v>
      </c>
      <c r="R55" s="43">
        <f t="shared" si="27"/>
        <v>24.056385998966107</v>
      </c>
      <c r="S55" s="76">
        <f t="shared" si="28"/>
        <v>0.70481016493246706</v>
      </c>
      <c r="T55">
        <v>196</v>
      </c>
      <c r="U55" s="44">
        <f t="shared" si="29"/>
        <v>278.08906532836426</v>
      </c>
      <c r="V55">
        <v>41.5</v>
      </c>
      <c r="W55" s="77">
        <f t="shared" si="30"/>
        <v>118.19678514869723</v>
      </c>
      <c r="X55">
        <v>1.44</v>
      </c>
      <c r="Y55" s="47">
        <f t="shared" si="31"/>
        <v>4.317832818039105</v>
      </c>
      <c r="Z55">
        <v>24</v>
      </c>
    </row>
    <row r="56" spans="1:26" ht="15" customHeight="1" thickBot="1">
      <c r="A56">
        <v>24.5</v>
      </c>
      <c r="B56" t="s">
        <v>167</v>
      </c>
      <c r="C56">
        <v>0.02</v>
      </c>
      <c r="D56">
        <v>75</v>
      </c>
      <c r="E56" s="37">
        <f t="shared" si="16"/>
        <v>24.528571428571428</v>
      </c>
      <c r="F56">
        <v>30</v>
      </c>
      <c r="G56" s="71">
        <f t="shared" si="17"/>
        <v>1.4285714285714286</v>
      </c>
      <c r="H56" s="39">
        <f t="shared" si="18"/>
        <v>75</v>
      </c>
      <c r="I56">
        <v>75</v>
      </c>
      <c r="J56" s="71">
        <f t="shared" si="19"/>
        <v>2.8571428571428574E-2</v>
      </c>
      <c r="K56" s="71">
        <f t="shared" si="20"/>
        <v>24.557142857142857</v>
      </c>
      <c r="L56" s="72">
        <f t="shared" si="21"/>
        <v>44.224299986316915</v>
      </c>
      <c r="M56" s="73">
        <f t="shared" si="22"/>
        <v>0.97328301163148112</v>
      </c>
      <c r="N56" s="73">
        <f t="shared" si="23"/>
        <v>0.71661487434918225</v>
      </c>
      <c r="O56" s="74">
        <f t="shared" si="24"/>
        <v>28.338512565081768</v>
      </c>
      <c r="P56" s="75">
        <f t="shared" si="25"/>
        <v>1.3954496840554467</v>
      </c>
      <c r="Q56" s="37">
        <f t="shared" si="26"/>
        <v>2.7908993681108933E-2</v>
      </c>
      <c r="R56" s="43">
        <f t="shared" si="27"/>
        <v>24.555817987362218</v>
      </c>
      <c r="S56" s="76">
        <f t="shared" si="28"/>
        <v>0.69746908308648758</v>
      </c>
      <c r="T56">
        <v>197</v>
      </c>
      <c r="U56" s="44">
        <f t="shared" si="29"/>
        <v>282.44979566437871</v>
      </c>
      <c r="V56">
        <v>41.5</v>
      </c>
      <c r="W56" s="77">
        <f t="shared" si="30"/>
        <v>118.66560204008708</v>
      </c>
      <c r="X56">
        <v>1.44</v>
      </c>
      <c r="Y56" s="47">
        <f t="shared" si="31"/>
        <v>4.3192766878922662</v>
      </c>
      <c r="Z56">
        <v>24.5</v>
      </c>
    </row>
    <row r="57" spans="1:26" ht="15" customHeight="1" thickBot="1">
      <c r="A57">
        <v>25</v>
      </c>
      <c r="B57" t="s">
        <v>167</v>
      </c>
      <c r="C57">
        <v>0.02</v>
      </c>
      <c r="D57">
        <v>75</v>
      </c>
      <c r="E57" s="37">
        <f t="shared" si="16"/>
        <v>25.028571428571428</v>
      </c>
      <c r="F57">
        <v>30</v>
      </c>
      <c r="G57" s="71">
        <f t="shared" si="17"/>
        <v>1.4285714285714286</v>
      </c>
      <c r="H57" s="39">
        <f t="shared" si="18"/>
        <v>75</v>
      </c>
      <c r="I57">
        <v>75</v>
      </c>
      <c r="J57" s="71">
        <f t="shared" si="19"/>
        <v>2.8571428571428574E-2</v>
      </c>
      <c r="K57" s="71">
        <f t="shared" si="20"/>
        <v>25.057142857142857</v>
      </c>
      <c r="L57" s="72">
        <f t="shared" si="21"/>
        <v>43.646611345075151</v>
      </c>
      <c r="M57" s="73">
        <f t="shared" si="22"/>
        <v>0.95383957247217643</v>
      </c>
      <c r="N57" s="73">
        <f t="shared" si="23"/>
        <v>0.72361061054910492</v>
      </c>
      <c r="O57" s="74">
        <f t="shared" si="24"/>
        <v>27.638938945089507</v>
      </c>
      <c r="P57" s="75">
        <f t="shared" si="25"/>
        <v>1.3819587294901048</v>
      </c>
      <c r="Q57" s="37">
        <f t="shared" si="26"/>
        <v>2.7639174589802095E-2</v>
      </c>
      <c r="R57" s="43">
        <f t="shared" si="27"/>
        <v>25.055278349179606</v>
      </c>
      <c r="S57" s="76">
        <f t="shared" si="28"/>
        <v>0.69020843540248888</v>
      </c>
      <c r="T57">
        <v>198</v>
      </c>
      <c r="U57" s="44">
        <f t="shared" si="29"/>
        <v>286.86986400642593</v>
      </c>
      <c r="V57">
        <v>41.5</v>
      </c>
      <c r="W57" s="77">
        <f t="shared" si="30"/>
        <v>119.13891566371942</v>
      </c>
      <c r="X57">
        <v>1.44</v>
      </c>
      <c r="Y57" s="47">
        <f t="shared" si="31"/>
        <v>4.3224717944497231</v>
      </c>
      <c r="Z57">
        <v>25</v>
      </c>
    </row>
    <row r="58" spans="1:26" ht="15" customHeight="1" thickBot="1">
      <c r="A58">
        <v>25.5</v>
      </c>
      <c r="B58" t="s">
        <v>167</v>
      </c>
      <c r="C58">
        <v>0.02</v>
      </c>
      <c r="D58">
        <v>80</v>
      </c>
      <c r="E58" s="37">
        <f t="shared" si="16"/>
        <v>25.528571428571428</v>
      </c>
      <c r="F58">
        <v>30</v>
      </c>
      <c r="G58" s="71">
        <f t="shared" si="17"/>
        <v>1.4285714285714286</v>
      </c>
      <c r="H58" s="39">
        <f t="shared" si="18"/>
        <v>80</v>
      </c>
      <c r="I58">
        <v>80</v>
      </c>
      <c r="J58" s="71">
        <f t="shared" si="19"/>
        <v>2.8571428571428574E-2</v>
      </c>
      <c r="K58" s="71">
        <f t="shared" si="20"/>
        <v>25.557142857142857</v>
      </c>
      <c r="L58" s="72">
        <f t="shared" si="21"/>
        <v>44.928337937857087</v>
      </c>
      <c r="M58" s="73">
        <f t="shared" si="22"/>
        <v>0.99750161893452904</v>
      </c>
      <c r="N58" s="73">
        <f t="shared" si="23"/>
        <v>0.70799064330317263</v>
      </c>
      <c r="O58" s="74">
        <f t="shared" si="24"/>
        <v>29.200935669682735</v>
      </c>
      <c r="P58" s="75">
        <f t="shared" si="25"/>
        <v>1.4124480449832504</v>
      </c>
      <c r="Q58" s="37">
        <f t="shared" si="26"/>
        <v>2.8248960899665009E-2</v>
      </c>
      <c r="R58" s="43">
        <f t="shared" si="27"/>
        <v>25.55649792179933</v>
      </c>
      <c r="S58" s="76">
        <f t="shared" si="28"/>
        <v>0.7062218128854133</v>
      </c>
      <c r="T58">
        <v>199</v>
      </c>
      <c r="U58" s="44">
        <f t="shared" si="29"/>
        <v>281.78115766057255</v>
      </c>
      <c r="V58">
        <v>41.5</v>
      </c>
      <c r="W58" s="77">
        <f t="shared" si="30"/>
        <v>118.59383786814008</v>
      </c>
      <c r="X58">
        <v>1.44</v>
      </c>
      <c r="Y58" s="47">
        <f t="shared" si="31"/>
        <v>4.605620251748582</v>
      </c>
      <c r="Z58">
        <v>25.5</v>
      </c>
    </row>
    <row r="59" spans="1:26" ht="15" customHeight="1" thickBot="1">
      <c r="A59">
        <v>26</v>
      </c>
      <c r="B59" t="s">
        <v>167</v>
      </c>
      <c r="C59">
        <v>0.02</v>
      </c>
      <c r="D59">
        <v>80</v>
      </c>
      <c r="E59" s="37">
        <f t="shared" si="16"/>
        <v>26.028571428571428</v>
      </c>
      <c r="F59">
        <v>30</v>
      </c>
      <c r="G59" s="71">
        <f t="shared" si="17"/>
        <v>1.4285714285714286</v>
      </c>
      <c r="H59" s="39">
        <f t="shared" si="18"/>
        <v>80</v>
      </c>
      <c r="I59">
        <v>80</v>
      </c>
      <c r="J59" s="71">
        <f t="shared" si="19"/>
        <v>2.8571428571428574E-2</v>
      </c>
      <c r="K59" s="71">
        <f t="shared" si="20"/>
        <v>26.057142857142857</v>
      </c>
      <c r="L59" s="72">
        <f t="shared" si="21"/>
        <v>44.372717395941706</v>
      </c>
      <c r="M59" s="73">
        <f t="shared" si="22"/>
        <v>0.97833995227003479</v>
      </c>
      <c r="N59" s="73">
        <f t="shared" si="23"/>
        <v>0.71480576744027824</v>
      </c>
      <c r="O59" s="74">
        <f t="shared" si="24"/>
        <v>28.519423255972175</v>
      </c>
      <c r="P59" s="75">
        <f t="shared" si="25"/>
        <v>1.3989814374064204</v>
      </c>
      <c r="Q59" s="37">
        <f t="shared" si="26"/>
        <v>2.7979628748128409E-2</v>
      </c>
      <c r="R59" s="43">
        <f t="shared" si="27"/>
        <v>26.055959257496255</v>
      </c>
      <c r="S59" s="76">
        <f t="shared" si="28"/>
        <v>0.69932304039986759</v>
      </c>
      <c r="T59">
        <v>200</v>
      </c>
      <c r="U59" s="44">
        <f t="shared" si="29"/>
        <v>285.99086322916162</v>
      </c>
      <c r="V59">
        <v>41.5</v>
      </c>
      <c r="W59" s="77">
        <f t="shared" si="30"/>
        <v>119.04493964111077</v>
      </c>
      <c r="X59">
        <v>1.44</v>
      </c>
      <c r="Y59" s="47">
        <f t="shared" si="31"/>
        <v>4.606663587659094</v>
      </c>
      <c r="Z59">
        <v>26</v>
      </c>
    </row>
    <row r="60" spans="1:26" ht="15" customHeight="1" thickBot="1">
      <c r="A60">
        <v>26.5</v>
      </c>
      <c r="B60" t="s">
        <v>167</v>
      </c>
      <c r="C60">
        <v>0.02</v>
      </c>
      <c r="D60">
        <v>80</v>
      </c>
      <c r="E60" s="37">
        <f t="shared" si="16"/>
        <v>26.528571428571428</v>
      </c>
      <c r="F60">
        <v>30</v>
      </c>
      <c r="G60" s="71">
        <f t="shared" si="17"/>
        <v>1.4285714285714286</v>
      </c>
      <c r="H60" s="39">
        <f t="shared" si="18"/>
        <v>80</v>
      </c>
      <c r="I60">
        <v>80</v>
      </c>
      <c r="J60" s="71">
        <f t="shared" si="19"/>
        <v>2.8571428571428574E-2</v>
      </c>
      <c r="K60" s="71">
        <f t="shared" si="20"/>
        <v>26.557142857142857</v>
      </c>
      <c r="L60" s="72">
        <f t="shared" si="21"/>
        <v>43.827897152248148</v>
      </c>
      <c r="M60" s="73">
        <f t="shared" si="22"/>
        <v>0.95990058860312522</v>
      </c>
      <c r="N60" s="73">
        <f t="shared" si="23"/>
        <v>0.72142314904951121</v>
      </c>
      <c r="O60" s="74">
        <f t="shared" si="24"/>
        <v>27.857685095048879</v>
      </c>
      <c r="P60" s="75">
        <f t="shared" si="25"/>
        <v>1.3861490323917649</v>
      </c>
      <c r="Q60" s="37">
        <f t="shared" si="26"/>
        <v>2.7722980647835297E-2</v>
      </c>
      <c r="R60" s="43">
        <f t="shared" si="27"/>
        <v>26.555445961295671</v>
      </c>
      <c r="S60" s="76">
        <f t="shared" si="28"/>
        <v>0.69249450540454593</v>
      </c>
      <c r="T60">
        <v>201</v>
      </c>
      <c r="U60" s="44">
        <f t="shared" si="29"/>
        <v>290.25501059041403</v>
      </c>
      <c r="V60">
        <v>41.5</v>
      </c>
      <c r="W60" s="77">
        <f t="shared" si="30"/>
        <v>119.50013923383719</v>
      </c>
      <c r="X60">
        <v>1.44</v>
      </c>
      <c r="Y60" s="47">
        <f t="shared" si="31"/>
        <v>4.609374149118044</v>
      </c>
      <c r="Z60">
        <v>26.5</v>
      </c>
    </row>
    <row r="61" spans="1:26" ht="15" customHeight="1" thickBot="1">
      <c r="A61">
        <v>27</v>
      </c>
      <c r="B61" t="s">
        <v>167</v>
      </c>
      <c r="C61">
        <v>0.02</v>
      </c>
      <c r="D61">
        <v>80</v>
      </c>
      <c r="E61" s="37">
        <f t="shared" si="16"/>
        <v>27.028571428571428</v>
      </c>
      <c r="F61">
        <v>30</v>
      </c>
      <c r="G61" s="71">
        <f t="shared" si="17"/>
        <v>1.4285714285714286</v>
      </c>
      <c r="H61" s="39">
        <f t="shared" si="18"/>
        <v>80</v>
      </c>
      <c r="I61">
        <v>80</v>
      </c>
      <c r="J61" s="71">
        <f t="shared" si="19"/>
        <v>2.8571428571428574E-2</v>
      </c>
      <c r="K61" s="71">
        <f t="shared" si="20"/>
        <v>27.057142857142857</v>
      </c>
      <c r="L61" s="72">
        <f t="shared" si="21"/>
        <v>43.293661028414974</v>
      </c>
      <c r="M61" s="73">
        <f t="shared" si="22"/>
        <v>0.94214344240803571</v>
      </c>
      <c r="N61" s="73">
        <f t="shared" si="23"/>
        <v>0.72784863818984513</v>
      </c>
      <c r="O61" s="74">
        <f t="shared" si="24"/>
        <v>27.215136181015488</v>
      </c>
      <c r="P61" s="75">
        <f t="shared" si="25"/>
        <v>1.3739120299613303</v>
      </c>
      <c r="Q61" s="37">
        <f t="shared" si="26"/>
        <v>2.7478240599226607E-2</v>
      </c>
      <c r="R61" s="43">
        <f t="shared" si="27"/>
        <v>27.054956481198452</v>
      </c>
      <c r="S61" s="76">
        <f t="shared" si="28"/>
        <v>0.68573782153618157</v>
      </c>
      <c r="T61">
        <v>202</v>
      </c>
      <c r="U61" s="44">
        <f t="shared" si="29"/>
        <v>294.5732226749314</v>
      </c>
      <c r="V61">
        <v>41.5</v>
      </c>
      <c r="W61" s="77">
        <f t="shared" si="30"/>
        <v>119.95934997553731</v>
      </c>
      <c r="X61">
        <v>1.44</v>
      </c>
      <c r="Y61" s="47">
        <f t="shared" si="31"/>
        <v>4.6136592381541419</v>
      </c>
      <c r="Z61">
        <v>27</v>
      </c>
    </row>
    <row r="62" spans="1:26" ht="15" customHeight="1" thickBot="1">
      <c r="A62">
        <v>27.5</v>
      </c>
      <c r="B62" t="s">
        <v>167</v>
      </c>
      <c r="C62">
        <v>0.02</v>
      </c>
      <c r="D62">
        <v>80</v>
      </c>
      <c r="E62" s="37">
        <f t="shared" si="16"/>
        <v>27.528571428571428</v>
      </c>
      <c r="F62">
        <v>30</v>
      </c>
      <c r="G62" s="71">
        <f t="shared" si="17"/>
        <v>1.4285714285714286</v>
      </c>
      <c r="H62" s="39">
        <f t="shared" si="18"/>
        <v>80</v>
      </c>
      <c r="I62">
        <v>80</v>
      </c>
      <c r="J62" s="71">
        <f t="shared" si="19"/>
        <v>2.8571428571428574E-2</v>
      </c>
      <c r="K62" s="71">
        <f t="shared" si="20"/>
        <v>27.557142857142857</v>
      </c>
      <c r="L62" s="72">
        <f t="shared" si="21"/>
        <v>42.769793799348662</v>
      </c>
      <c r="M62" s="73">
        <f t="shared" si="22"/>
        <v>0.92503134044421553</v>
      </c>
      <c r="N62" s="73">
        <f t="shared" si="23"/>
        <v>0.73408797103044732</v>
      </c>
      <c r="O62" s="74">
        <f t="shared" si="24"/>
        <v>26.591202896955267</v>
      </c>
      <c r="P62" s="75">
        <f t="shared" si="25"/>
        <v>1.3622345542541572</v>
      </c>
      <c r="Q62" s="37">
        <f t="shared" si="26"/>
        <v>2.7244691085083143E-2</v>
      </c>
      <c r="R62" s="43">
        <f t="shared" si="27"/>
        <v>27.554489382170168</v>
      </c>
      <c r="S62" s="76">
        <f t="shared" si="28"/>
        <v>0.67905437984626915</v>
      </c>
      <c r="T62">
        <v>203</v>
      </c>
      <c r="U62" s="44">
        <f t="shared" si="29"/>
        <v>298.9451302058564</v>
      </c>
      <c r="V62">
        <v>41.5</v>
      </c>
      <c r="W62" s="77">
        <f t="shared" si="30"/>
        <v>120.42248693470214</v>
      </c>
      <c r="X62">
        <v>1.44</v>
      </c>
      <c r="Y62" s="47">
        <f t="shared" si="31"/>
        <v>4.6194329080067851</v>
      </c>
      <c r="Z62">
        <v>27.5</v>
      </c>
    </row>
    <row r="63" spans="1:26" ht="15" customHeight="1" thickBot="1">
      <c r="A63">
        <v>28</v>
      </c>
      <c r="B63" t="s">
        <v>167</v>
      </c>
      <c r="C63">
        <v>0.02</v>
      </c>
      <c r="D63">
        <v>80</v>
      </c>
      <c r="E63" s="37">
        <f t="shared" si="16"/>
        <v>28.028571428571428</v>
      </c>
      <c r="F63">
        <v>30</v>
      </c>
      <c r="G63" s="71">
        <f t="shared" si="17"/>
        <v>1.4285714285714286</v>
      </c>
      <c r="H63" s="39">
        <f t="shared" si="18"/>
        <v>80</v>
      </c>
      <c r="I63">
        <v>80</v>
      </c>
      <c r="J63" s="71">
        <f t="shared" si="19"/>
        <v>2.8571428571428574E-2</v>
      </c>
      <c r="K63" s="71">
        <f t="shared" si="20"/>
        <v>28.057142857142857</v>
      </c>
      <c r="L63" s="72">
        <f t="shared" si="21"/>
        <v>42.256081576003893</v>
      </c>
      <c r="M63" s="73">
        <f t="shared" si="22"/>
        <v>0.90852976199592428</v>
      </c>
      <c r="N63" s="73">
        <f t="shared" si="23"/>
        <v>0.74014676439384852</v>
      </c>
      <c r="O63" s="74">
        <f t="shared" si="24"/>
        <v>25.985323560615146</v>
      </c>
      <c r="P63" s="75">
        <f t="shared" si="25"/>
        <v>1.3510833906285615</v>
      </c>
      <c r="Q63" s="37">
        <f t="shared" si="26"/>
        <v>2.7021667812571232E-2</v>
      </c>
      <c r="R63" s="43">
        <f t="shared" si="27"/>
        <v>28.054043335625142</v>
      </c>
      <c r="S63" s="76">
        <f t="shared" si="28"/>
        <v>0.67244536369679642</v>
      </c>
      <c r="T63">
        <v>204</v>
      </c>
      <c r="U63" s="44">
        <f t="shared" si="29"/>
        <v>303.37037180017347</v>
      </c>
      <c r="V63">
        <v>41.5</v>
      </c>
      <c r="W63" s="77">
        <f t="shared" si="30"/>
        <v>120.88946692461913</v>
      </c>
      <c r="X63">
        <v>1.44</v>
      </c>
      <c r="Y63" s="47">
        <f t="shared" si="31"/>
        <v>4.6266153591255694</v>
      </c>
      <c r="Z63">
        <v>28</v>
      </c>
    </row>
    <row r="64" spans="1:26" ht="15" customHeight="1" thickBot="1">
      <c r="A64">
        <v>28.5</v>
      </c>
      <c r="B64" t="s">
        <v>167</v>
      </c>
      <c r="C64">
        <v>0.02</v>
      </c>
      <c r="D64">
        <v>80</v>
      </c>
      <c r="E64" s="37">
        <f t="shared" si="16"/>
        <v>28.528571428571428</v>
      </c>
      <c r="F64">
        <v>30</v>
      </c>
      <c r="G64" s="71">
        <f t="shared" si="17"/>
        <v>1.4285714285714286</v>
      </c>
      <c r="H64" s="39">
        <f t="shared" si="18"/>
        <v>80</v>
      </c>
      <c r="I64">
        <v>80</v>
      </c>
      <c r="J64" s="71">
        <f t="shared" si="19"/>
        <v>2.8571428571428574E-2</v>
      </c>
      <c r="K64" s="71">
        <f t="shared" si="20"/>
        <v>28.557142857142857</v>
      </c>
      <c r="L64" s="72">
        <f t="shared" si="21"/>
        <v>41.752312147830992</v>
      </c>
      <c r="M64" s="73">
        <f t="shared" si="22"/>
        <v>0.89260660642764322</v>
      </c>
      <c r="N64" s="73">
        <f t="shared" si="23"/>
        <v>0.74603051134862997</v>
      </c>
      <c r="O64" s="74">
        <f t="shared" si="24"/>
        <v>25.396948865137002</v>
      </c>
      <c r="P64" s="75">
        <f t="shared" si="25"/>
        <v>1.340427750323856</v>
      </c>
      <c r="Q64" s="37">
        <f t="shared" si="26"/>
        <v>2.6808555006477119E-2</v>
      </c>
      <c r="R64" s="43">
        <f t="shared" si="27"/>
        <v>28.553617110012954</v>
      </c>
      <c r="S64" s="76">
        <f t="shared" si="28"/>
        <v>0.66591176302638</v>
      </c>
      <c r="T64">
        <v>205</v>
      </c>
      <c r="U64" s="44">
        <f t="shared" si="29"/>
        <v>307.84859403644288</v>
      </c>
      <c r="V64">
        <v>41.5</v>
      </c>
      <c r="W64" s="77">
        <f t="shared" si="30"/>
        <v>121.36020850381914</v>
      </c>
      <c r="X64">
        <v>1.44</v>
      </c>
      <c r="Y64" s="47">
        <f t="shared" si="31"/>
        <v>4.6351323989131936</v>
      </c>
      <c r="Z64">
        <v>28.5</v>
      </c>
    </row>
    <row r="65" spans="1:26" ht="15" customHeight="1" thickBot="1">
      <c r="A65">
        <v>29</v>
      </c>
      <c r="B65" t="s">
        <v>167</v>
      </c>
      <c r="C65">
        <v>0.02</v>
      </c>
      <c r="D65">
        <v>85</v>
      </c>
      <c r="E65" s="37">
        <f t="shared" si="16"/>
        <v>29.028571428571428</v>
      </c>
      <c r="F65">
        <v>30</v>
      </c>
      <c r="G65" s="71">
        <f t="shared" si="17"/>
        <v>1.4285714285714286</v>
      </c>
      <c r="H65" s="39">
        <f t="shared" si="18"/>
        <v>85</v>
      </c>
      <c r="I65">
        <v>85</v>
      </c>
      <c r="J65" s="71">
        <f t="shared" si="19"/>
        <v>2.8571428571428574E-2</v>
      </c>
      <c r="K65" s="71">
        <f t="shared" si="20"/>
        <v>29.057142857142857</v>
      </c>
      <c r="L65" s="72">
        <f t="shared" si="21"/>
        <v>42.986019719862028</v>
      </c>
      <c r="M65" s="73">
        <f t="shared" si="22"/>
        <v>0.93205898380942598</v>
      </c>
      <c r="N65" s="73">
        <f t="shared" si="23"/>
        <v>0.73152009748050995</v>
      </c>
      <c r="O65" s="74">
        <f t="shared" si="24"/>
        <v>26.847990251949007</v>
      </c>
      <c r="P65" s="75">
        <f t="shared" si="25"/>
        <v>1.367016440756972</v>
      </c>
      <c r="Q65" s="37">
        <f t="shared" si="26"/>
        <v>2.7340328815139443E-2</v>
      </c>
      <c r="R65" s="43">
        <f t="shared" si="27"/>
        <v>29.054680657630279</v>
      </c>
      <c r="S65" s="76">
        <f t="shared" si="28"/>
        <v>0.68181987869385652</v>
      </c>
      <c r="T65">
        <v>206</v>
      </c>
      <c r="U65" s="44">
        <f t="shared" si="29"/>
        <v>302.13258140057241</v>
      </c>
      <c r="V65">
        <v>41.5</v>
      </c>
      <c r="W65" s="77">
        <f t="shared" si="30"/>
        <v>120.75902922383732</v>
      </c>
      <c r="X65">
        <v>1.44</v>
      </c>
      <c r="Y65" s="47">
        <f t="shared" si="31"/>
        <v>4.9054274403051092</v>
      </c>
      <c r="Z65">
        <v>29</v>
      </c>
    </row>
    <row r="66" spans="1:26" ht="15" customHeight="1" thickBot="1">
      <c r="A66">
        <v>29.5</v>
      </c>
      <c r="B66" t="s">
        <v>167</v>
      </c>
      <c r="C66">
        <v>0.02</v>
      </c>
      <c r="D66">
        <v>85</v>
      </c>
      <c r="E66" s="37">
        <f t="shared" si="16"/>
        <v>29.528571428571428</v>
      </c>
      <c r="F66">
        <v>30</v>
      </c>
      <c r="G66" s="71">
        <f t="shared" si="17"/>
        <v>1.4285714285714286</v>
      </c>
      <c r="H66" s="39">
        <f t="shared" si="18"/>
        <v>85</v>
      </c>
      <c r="I66">
        <v>85</v>
      </c>
      <c r="J66" s="71">
        <f t="shared" si="19"/>
        <v>2.8571428571428574E-2</v>
      </c>
      <c r="K66" s="71">
        <f t="shared" si="20"/>
        <v>29.557142857142857</v>
      </c>
      <c r="L66" s="72">
        <f t="shared" si="21"/>
        <v>42.49830283828296</v>
      </c>
      <c r="M66" s="73">
        <f t="shared" si="22"/>
        <v>0.91627665945851655</v>
      </c>
      <c r="N66" s="73">
        <f t="shared" si="23"/>
        <v>0.73729735673240682</v>
      </c>
      <c r="O66" s="74">
        <f t="shared" si="24"/>
        <v>26.270264326759314</v>
      </c>
      <c r="P66" s="75">
        <f t="shared" si="25"/>
        <v>1.3563048760026111</v>
      </c>
      <c r="Q66" s="37">
        <f t="shared" si="26"/>
        <v>2.7126097520052222E-2</v>
      </c>
      <c r="R66" s="43">
        <f t="shared" si="27"/>
        <v>29.554252195040103</v>
      </c>
      <c r="S66" s="76">
        <f t="shared" si="28"/>
        <v>0.67556835905436396</v>
      </c>
      <c r="T66">
        <v>207</v>
      </c>
      <c r="U66" s="44">
        <f t="shared" si="29"/>
        <v>306.4086664593811</v>
      </c>
      <c r="V66">
        <v>41.5</v>
      </c>
      <c r="W66" s="77">
        <f t="shared" si="30"/>
        <v>121.20904567239023</v>
      </c>
      <c r="X66">
        <v>1.44</v>
      </c>
      <c r="Y66" s="47">
        <f t="shared" si="31"/>
        <v>4.9119955051116904</v>
      </c>
      <c r="Z66">
        <v>29.5</v>
      </c>
    </row>
    <row r="67" spans="1:26" ht="15" customHeight="1" thickBot="1">
      <c r="A67">
        <v>30</v>
      </c>
      <c r="B67" t="s">
        <v>167</v>
      </c>
      <c r="C67">
        <v>0.02</v>
      </c>
      <c r="D67">
        <v>85</v>
      </c>
      <c r="E67" s="37">
        <f t="shared" si="16"/>
        <v>30.028571428571428</v>
      </c>
      <c r="F67">
        <v>30</v>
      </c>
      <c r="G67" s="71">
        <f t="shared" si="17"/>
        <v>1.4285714285714286</v>
      </c>
      <c r="H67" s="39">
        <f t="shared" si="18"/>
        <v>85</v>
      </c>
      <c r="I67">
        <v>85</v>
      </c>
      <c r="J67" s="71">
        <f t="shared" si="19"/>
        <v>2.8571428571428574E-2</v>
      </c>
      <c r="K67" s="71">
        <f t="shared" si="20"/>
        <v>30.057142857142857</v>
      </c>
      <c r="L67" s="72">
        <f t="shared" si="21"/>
        <v>42.019482289128021</v>
      </c>
      <c r="M67" s="73">
        <f t="shared" si="22"/>
        <v>0.90101991203651466</v>
      </c>
      <c r="N67" s="73">
        <f t="shared" si="23"/>
        <v>0.74291726635340205</v>
      </c>
      <c r="O67" s="74">
        <f t="shared" si="24"/>
        <v>25.708273364659789</v>
      </c>
      <c r="P67" s="75">
        <f t="shared" si="25"/>
        <v>1.3460449033692332</v>
      </c>
      <c r="Q67" s="37">
        <f t="shared" si="26"/>
        <v>2.6920898067384666E-2</v>
      </c>
      <c r="R67" s="43">
        <f t="shared" si="27"/>
        <v>30.053841796134769</v>
      </c>
      <c r="S67" s="76">
        <f t="shared" si="28"/>
        <v>0.6693832499801502</v>
      </c>
      <c r="T67">
        <v>208</v>
      </c>
      <c r="U67" s="44">
        <f t="shared" si="29"/>
        <v>310.73379862159385</v>
      </c>
      <c r="V67">
        <v>41.5</v>
      </c>
      <c r="W67" s="77">
        <f t="shared" si="30"/>
        <v>121.66253055395916</v>
      </c>
      <c r="X67">
        <v>1.44</v>
      </c>
      <c r="Y67" s="47">
        <f t="shared" si="31"/>
        <v>4.9198519232745408</v>
      </c>
      <c r="Z67">
        <v>30</v>
      </c>
    </row>
    <row r="68" spans="1:26" ht="15" customHeight="1" thickBot="1">
      <c r="A68">
        <v>30.5</v>
      </c>
      <c r="B68" t="s">
        <v>167</v>
      </c>
      <c r="C68">
        <v>0.02</v>
      </c>
      <c r="D68">
        <v>85</v>
      </c>
      <c r="E68" s="37">
        <f t="shared" si="16"/>
        <v>30.528571428571428</v>
      </c>
      <c r="F68">
        <v>30</v>
      </c>
      <c r="G68" s="71">
        <f t="shared" si="17"/>
        <v>1.4285714285714286</v>
      </c>
      <c r="H68" s="39">
        <f t="shared" si="18"/>
        <v>85</v>
      </c>
      <c r="I68">
        <v>85</v>
      </c>
      <c r="J68" s="71">
        <f t="shared" si="19"/>
        <v>2.8571428571428574E-2</v>
      </c>
      <c r="K68" s="71">
        <f t="shared" si="20"/>
        <v>30.557142857142857</v>
      </c>
      <c r="L68" s="72">
        <f t="shared" si="21"/>
        <v>41.549381938974896</v>
      </c>
      <c r="M68" s="73">
        <f t="shared" si="22"/>
        <v>0.8862629176887008</v>
      </c>
      <c r="N68" s="73">
        <f t="shared" si="23"/>
        <v>0.74838435362834199</v>
      </c>
      <c r="O68" s="74">
        <f t="shared" si="24"/>
        <v>25.161564637165796</v>
      </c>
      <c r="P68" s="75">
        <f t="shared" si="25"/>
        <v>1.3362117943163383</v>
      </c>
      <c r="Q68" s="37">
        <f t="shared" si="26"/>
        <v>2.6724235886326768E-2</v>
      </c>
      <c r="R68" s="43">
        <f t="shared" si="27"/>
        <v>30.553448471772654</v>
      </c>
      <c r="S68" s="76">
        <f t="shared" si="28"/>
        <v>0.66326530079922674</v>
      </c>
      <c r="T68">
        <v>209</v>
      </c>
      <c r="U68" s="44">
        <f t="shared" si="29"/>
        <v>315.10769483667775</v>
      </c>
      <c r="V68">
        <v>41.5</v>
      </c>
      <c r="W68" s="77">
        <f t="shared" si="30"/>
        <v>122.11941571758864</v>
      </c>
      <c r="X68">
        <v>1.44</v>
      </c>
      <c r="Y68" s="47">
        <f t="shared" si="31"/>
        <v>4.9289332974886761</v>
      </c>
      <c r="Z68">
        <v>30.5</v>
      </c>
    </row>
    <row r="69" spans="1:26" ht="15" customHeight="1" thickBot="1">
      <c r="A69">
        <v>31</v>
      </c>
      <c r="B69" t="s">
        <v>167</v>
      </c>
      <c r="C69">
        <v>0.02</v>
      </c>
      <c r="D69">
        <v>90</v>
      </c>
      <c r="E69" s="37">
        <f t="shared" si="16"/>
        <v>31.028571428571428</v>
      </c>
      <c r="F69">
        <v>30</v>
      </c>
      <c r="G69" s="71">
        <f t="shared" si="17"/>
        <v>1.4285714285714286</v>
      </c>
      <c r="H69" s="39">
        <f t="shared" si="18"/>
        <v>90</v>
      </c>
      <c r="I69">
        <v>90</v>
      </c>
      <c r="J69" s="71">
        <f t="shared" si="19"/>
        <v>2.8571428571428574E-2</v>
      </c>
      <c r="K69" s="71">
        <f t="shared" si="20"/>
        <v>31.057142857142857</v>
      </c>
      <c r="L69" s="72">
        <f t="shared" si="21"/>
        <v>42.715503804784333</v>
      </c>
      <c r="M69" s="73">
        <f t="shared" si="22"/>
        <v>0.92327454749792992</v>
      </c>
      <c r="N69" s="73">
        <f t="shared" si="23"/>
        <v>0.73473107199394105</v>
      </c>
      <c r="O69" s="74">
        <f t="shared" si="24"/>
        <v>26.5268928006059</v>
      </c>
      <c r="P69" s="75">
        <f t="shared" si="25"/>
        <v>1.3610422073020028</v>
      </c>
      <c r="Q69" s="37">
        <f t="shared" si="26"/>
        <v>2.7220844146040056E-2</v>
      </c>
      <c r="R69" s="43">
        <f t="shared" si="27"/>
        <v>31.05444168829208</v>
      </c>
      <c r="S69" s="76">
        <f t="shared" si="28"/>
        <v>0.67835849802787485</v>
      </c>
      <c r="T69">
        <v>210</v>
      </c>
      <c r="U69" s="44">
        <f t="shared" si="29"/>
        <v>309.57082517652896</v>
      </c>
      <c r="V69">
        <v>41.5</v>
      </c>
      <c r="W69" s="77">
        <f t="shared" si="30"/>
        <v>121.54076050730141</v>
      </c>
      <c r="X69">
        <v>1.44</v>
      </c>
      <c r="Y69" s="47">
        <f t="shared" si="31"/>
        <v>5.1976639764221959</v>
      </c>
      <c r="Z69">
        <v>31</v>
      </c>
    </row>
    <row r="70" spans="1:26" ht="15" customHeight="1" thickBot="1">
      <c r="A70">
        <v>31.5</v>
      </c>
      <c r="B70" t="s">
        <v>167</v>
      </c>
      <c r="C70">
        <v>0.02</v>
      </c>
      <c r="D70">
        <v>90</v>
      </c>
      <c r="E70" s="37">
        <f t="shared" si="16"/>
        <v>31.528571428571428</v>
      </c>
      <c r="F70">
        <v>30</v>
      </c>
      <c r="G70" s="71">
        <f t="shared" si="17"/>
        <v>1.4285714285714286</v>
      </c>
      <c r="H70" s="39">
        <f t="shared" si="18"/>
        <v>90</v>
      </c>
      <c r="I70">
        <v>90</v>
      </c>
      <c r="J70" s="71">
        <f t="shared" si="19"/>
        <v>2.8571428571428574E-2</v>
      </c>
      <c r="K70" s="71">
        <f t="shared" si="20"/>
        <v>31.557142857142857</v>
      </c>
      <c r="L70" s="72">
        <f t="shared" si="21"/>
        <v>42.259311653326918</v>
      </c>
      <c r="M70" s="73">
        <f t="shared" si="22"/>
        <v>0.90863267655890523</v>
      </c>
      <c r="N70" s="73">
        <f t="shared" si="23"/>
        <v>0.74010885378525182</v>
      </c>
      <c r="O70" s="74">
        <f t="shared" si="24"/>
        <v>25.989114621474823</v>
      </c>
      <c r="P70" s="75">
        <f t="shared" si="25"/>
        <v>1.3511525971964087</v>
      </c>
      <c r="Q70" s="37">
        <f t="shared" si="26"/>
        <v>2.7023051943928175E-2</v>
      </c>
      <c r="R70" s="43">
        <f t="shared" si="27"/>
        <v>31.554046103887856</v>
      </c>
      <c r="S70" s="76">
        <f t="shared" si="28"/>
        <v>0.67248708875983687</v>
      </c>
      <c r="T70">
        <v>211</v>
      </c>
      <c r="U70" s="44">
        <f t="shared" si="29"/>
        <v>313.76067069051754</v>
      </c>
      <c r="V70">
        <v>41.5</v>
      </c>
      <c r="W70" s="77">
        <f t="shared" si="30"/>
        <v>121.97889164280852</v>
      </c>
      <c r="X70">
        <v>1.44</v>
      </c>
      <c r="Y70" s="47">
        <f t="shared" si="31"/>
        <v>5.2049181079316194</v>
      </c>
      <c r="Z70">
        <v>31.5</v>
      </c>
    </row>
    <row r="71" spans="1:26" ht="15" customHeight="1" thickBot="1">
      <c r="A71">
        <v>32</v>
      </c>
      <c r="B71" t="s">
        <v>167</v>
      </c>
      <c r="C71">
        <v>0.02</v>
      </c>
      <c r="D71">
        <v>90</v>
      </c>
      <c r="E71" s="37">
        <f t="shared" si="16"/>
        <v>32.028571428571432</v>
      </c>
      <c r="F71">
        <v>30</v>
      </c>
      <c r="G71" s="71">
        <f t="shared" si="17"/>
        <v>1.4285714285714286</v>
      </c>
      <c r="H71" s="39">
        <f t="shared" si="18"/>
        <v>90</v>
      </c>
      <c r="I71">
        <v>90</v>
      </c>
      <c r="J71" s="71">
        <f t="shared" si="19"/>
        <v>2.8571428571428574E-2</v>
      </c>
      <c r="K71" s="71">
        <f t="shared" si="20"/>
        <v>32.057142857142857</v>
      </c>
      <c r="L71" s="72">
        <f t="shared" si="21"/>
        <v>41.81097657001056</v>
      </c>
      <c r="M71" s="73">
        <f t="shared" si="22"/>
        <v>0.89444795591681692</v>
      </c>
      <c r="N71" s="73">
        <f t="shared" si="23"/>
        <v>0.74534830181972511</v>
      </c>
      <c r="O71" s="74">
        <f t="shared" si="24"/>
        <v>25.465169818027483</v>
      </c>
      <c r="P71" s="75">
        <f t="shared" si="25"/>
        <v>1.34165462986708</v>
      </c>
      <c r="Q71" s="37">
        <f t="shared" si="26"/>
        <v>2.6833092597341599E-2</v>
      </c>
      <c r="R71" s="43">
        <f t="shared" si="27"/>
        <v>32.053666185194686</v>
      </c>
      <c r="S71" s="76">
        <f t="shared" si="28"/>
        <v>0.66667526500872365</v>
      </c>
      <c r="T71">
        <v>212</v>
      </c>
      <c r="U71" s="44">
        <f t="shared" si="29"/>
        <v>317.9958986437361</v>
      </c>
      <c r="V71">
        <v>41.5</v>
      </c>
      <c r="W71" s="77">
        <f t="shared" si="30"/>
        <v>122.4201748179925</v>
      </c>
      <c r="X71">
        <v>1.44</v>
      </c>
      <c r="Y71" s="47">
        <f t="shared" si="31"/>
        <v>5.2133586100847777</v>
      </c>
      <c r="Z71">
        <v>32</v>
      </c>
    </row>
    <row r="72" spans="1:26" ht="15" customHeight="1" thickBot="1">
      <c r="A72">
        <v>32.5</v>
      </c>
      <c r="B72" t="s">
        <v>167</v>
      </c>
      <c r="C72">
        <v>0.02</v>
      </c>
      <c r="D72">
        <v>95</v>
      </c>
      <c r="E72" s="37">
        <f t="shared" si="16"/>
        <v>32.528571428571432</v>
      </c>
      <c r="F72">
        <v>30</v>
      </c>
      <c r="G72" s="71">
        <f t="shared" si="17"/>
        <v>1.4285714285714286</v>
      </c>
      <c r="H72" s="39">
        <f t="shared" si="18"/>
        <v>95</v>
      </c>
      <c r="I72">
        <v>95</v>
      </c>
      <c r="J72" s="71">
        <f t="shared" si="19"/>
        <v>2.8571428571428574E-2</v>
      </c>
      <c r="K72" s="71">
        <f t="shared" si="20"/>
        <v>32.557142857142857</v>
      </c>
      <c r="L72" s="72">
        <f t="shared" si="21"/>
        <v>42.911365417479466</v>
      </c>
      <c r="M72" s="73">
        <f t="shared" si="22"/>
        <v>0.92962704401855678</v>
      </c>
      <c r="N72" s="73">
        <f t="shared" si="23"/>
        <v>0.73240786259018931</v>
      </c>
      <c r="O72" s="74">
        <f t="shared" si="24"/>
        <v>26.759213740981075</v>
      </c>
      <c r="P72" s="75">
        <f t="shared" si="25"/>
        <v>1.3653594548581995</v>
      </c>
      <c r="Q72" s="37">
        <f t="shared" si="26"/>
        <v>2.7307189097163991E-2</v>
      </c>
      <c r="R72" s="43">
        <f t="shared" si="27"/>
        <v>32.55461437819433</v>
      </c>
      <c r="S72" s="76">
        <f t="shared" si="28"/>
        <v>0.68086615631566705</v>
      </c>
      <c r="T72">
        <v>213</v>
      </c>
      <c r="U72" s="44">
        <f t="shared" si="29"/>
        <v>312.83681531858622</v>
      </c>
      <c r="V72">
        <v>41.5</v>
      </c>
      <c r="W72" s="77">
        <f t="shared" si="30"/>
        <v>121.88241965986538</v>
      </c>
      <c r="X72">
        <v>1.44</v>
      </c>
      <c r="Y72" s="47">
        <f t="shared" si="31"/>
        <v>5.483580851167174</v>
      </c>
      <c r="Z72">
        <v>32.5</v>
      </c>
    </row>
    <row r="73" spans="1:26" ht="15" customHeight="1" thickBot="1">
      <c r="A73">
        <v>33</v>
      </c>
      <c r="B73" t="s">
        <v>167</v>
      </c>
      <c r="C73">
        <v>0.02</v>
      </c>
      <c r="D73">
        <v>95</v>
      </c>
      <c r="E73" s="37">
        <f t="shared" ref="E73:E104" si="32">A73+J73</f>
        <v>33.028571428571432</v>
      </c>
      <c r="F73">
        <v>30</v>
      </c>
      <c r="G73" s="71">
        <f t="shared" ref="G73:G104" si="33">100/(100-F73)</f>
        <v>1.4285714285714286</v>
      </c>
      <c r="H73" s="39">
        <f t="shared" ref="H73:H104" si="34">3.1415926*E73*M73</f>
        <v>95</v>
      </c>
      <c r="I73">
        <v>95</v>
      </c>
      <c r="J73" s="71">
        <f t="shared" ref="J73:J104" si="35">G73*C73</f>
        <v>2.8571428571428574E-2</v>
      </c>
      <c r="K73" s="71">
        <f t="shared" ref="K73:K104" si="36">A73+2*J73</f>
        <v>33.057142857142857</v>
      </c>
      <c r="L73" s="72">
        <f t="shared" ref="L73:L104" si="37">ATAN(I73/(3.1415926*(A73+J73)))*180/3.1415926</f>
        <v>42.475785559853506</v>
      </c>
      <c r="M73" s="73">
        <f t="shared" ref="M73:M104" si="38">I73/(3.1415926*(A73+J73))</f>
        <v>0.91555397025530016</v>
      </c>
      <c r="N73" s="73">
        <f t="shared" ref="N73:N104" si="39">COS(L73*3.1415926/180)</f>
        <v>0.73756279858576312</v>
      </c>
      <c r="O73" s="74">
        <f t="shared" ref="O73:O104" si="40">(D73-I73*N73)/D73*100</f>
        <v>26.243720141423687</v>
      </c>
      <c r="P73" s="75">
        <f t="shared" ref="P73:P104" si="41">100/(100-O73)</f>
        <v>1.3558167547460991</v>
      </c>
      <c r="Q73" s="37">
        <f t="shared" ref="Q73:Q104" si="42">P73*C73</f>
        <v>2.7116335094921982E-2</v>
      </c>
      <c r="R73" s="43">
        <f t="shared" ref="R73:R104" si="43">A73+2*Q73</f>
        <v>33.054232670189847</v>
      </c>
      <c r="S73" s="76">
        <f t="shared" ref="S73:S104" si="44">SIN(L73*3.1415926/180)</f>
        <v>0.67527854855780589</v>
      </c>
      <c r="T73">
        <v>214</v>
      </c>
      <c r="U73" s="44">
        <f t="shared" ref="U73:U104" si="45">T73/S73</f>
        <v>316.90626106373486</v>
      </c>
      <c r="V73">
        <v>41.5</v>
      </c>
      <c r="W73" s="77">
        <f t="shared" ref="W73:W104" si="46">2*SQRT((1000*U73*C73/3.1415926)+(V73*V73))</f>
        <v>122.30679379686471</v>
      </c>
      <c r="X73">
        <v>1.44</v>
      </c>
      <c r="Y73" s="47">
        <f t="shared" ref="Y73:Y104" si="47">3.14*(A73+Q73)*Q73*X73*P73</f>
        <v>5.4902836825991406</v>
      </c>
      <c r="Z73">
        <v>33</v>
      </c>
    </row>
    <row r="74" spans="1:26" ht="15" customHeight="1" thickBot="1">
      <c r="A74">
        <v>33.5</v>
      </c>
      <c r="B74" t="s">
        <v>167</v>
      </c>
      <c r="C74">
        <v>0.02</v>
      </c>
      <c r="D74">
        <v>95</v>
      </c>
      <c r="E74" s="37">
        <f t="shared" si="32"/>
        <v>33.528571428571432</v>
      </c>
      <c r="F74">
        <v>30</v>
      </c>
      <c r="G74" s="71">
        <f t="shared" si="33"/>
        <v>1.4285714285714286</v>
      </c>
      <c r="H74" s="39">
        <f t="shared" si="34"/>
        <v>95</v>
      </c>
      <c r="I74">
        <v>95</v>
      </c>
      <c r="J74" s="71">
        <f t="shared" si="35"/>
        <v>2.8571428571428574E-2</v>
      </c>
      <c r="K74" s="71">
        <f t="shared" si="36"/>
        <v>33.557142857142857</v>
      </c>
      <c r="L74" s="72">
        <f t="shared" si="37"/>
        <v>42.047321077190794</v>
      </c>
      <c r="M74" s="73">
        <f t="shared" si="38"/>
        <v>0.90190063026427525</v>
      </c>
      <c r="N74" s="73">
        <f t="shared" si="39"/>
        <v>0.74259193974147053</v>
      </c>
      <c r="O74" s="74">
        <f t="shared" si="40"/>
        <v>25.740806025852947</v>
      </c>
      <c r="P74" s="75">
        <f t="shared" si="41"/>
        <v>1.3466346003541929</v>
      </c>
      <c r="Q74" s="37">
        <f t="shared" si="42"/>
        <v>2.6932692007083859E-2</v>
      </c>
      <c r="R74" s="43">
        <f t="shared" si="43"/>
        <v>33.553865384014166</v>
      </c>
      <c r="S74" s="76">
        <f t="shared" si="44"/>
        <v>0.66974413848200287</v>
      </c>
      <c r="T74">
        <v>215</v>
      </c>
      <c r="U74" s="44">
        <f t="shared" si="45"/>
        <v>321.01811370429397</v>
      </c>
      <c r="V74">
        <v>41.5</v>
      </c>
      <c r="W74" s="77">
        <f t="shared" si="46"/>
        <v>122.73409990029899</v>
      </c>
      <c r="X74">
        <v>1.44</v>
      </c>
      <c r="Y74" s="47">
        <f t="shared" si="47"/>
        <v>5.4981362307269732</v>
      </c>
      <c r="Z74">
        <v>33.5</v>
      </c>
    </row>
    <row r="75" spans="1:26" ht="15" customHeight="1" thickBot="1">
      <c r="A75">
        <v>34</v>
      </c>
      <c r="B75" t="s">
        <v>167</v>
      </c>
      <c r="C75">
        <v>0.02</v>
      </c>
      <c r="D75">
        <v>95</v>
      </c>
      <c r="E75" s="37">
        <f t="shared" si="32"/>
        <v>34.028571428571432</v>
      </c>
      <c r="F75">
        <v>30</v>
      </c>
      <c r="G75" s="71">
        <f t="shared" si="33"/>
        <v>1.4285714285714286</v>
      </c>
      <c r="H75" s="39">
        <f t="shared" si="34"/>
        <v>95</v>
      </c>
      <c r="I75">
        <v>95</v>
      </c>
      <c r="J75" s="71">
        <f t="shared" si="35"/>
        <v>2.8571428571428574E-2</v>
      </c>
      <c r="K75" s="71">
        <f t="shared" si="36"/>
        <v>34.057142857142857</v>
      </c>
      <c r="L75" s="72">
        <f t="shared" si="37"/>
        <v>41.625845797241325</v>
      </c>
      <c r="M75" s="73">
        <f t="shared" si="38"/>
        <v>0.88864852192705879</v>
      </c>
      <c r="N75" s="73">
        <f t="shared" si="39"/>
        <v>0.74749852935423466</v>
      </c>
      <c r="O75" s="74">
        <f t="shared" si="40"/>
        <v>25.250147064576538</v>
      </c>
      <c r="P75" s="75">
        <f t="shared" si="41"/>
        <v>1.3377952741444212</v>
      </c>
      <c r="Q75" s="37">
        <f t="shared" si="42"/>
        <v>2.6755905482888424E-2</v>
      </c>
      <c r="R75" s="43">
        <f t="shared" si="43"/>
        <v>34.05351181096578</v>
      </c>
      <c r="S75" s="76">
        <f t="shared" si="44"/>
        <v>0.664263463253291</v>
      </c>
      <c r="T75">
        <v>216</v>
      </c>
      <c r="U75" s="44">
        <f t="shared" si="45"/>
        <v>325.17218234782968</v>
      </c>
      <c r="V75">
        <v>41.5</v>
      </c>
      <c r="W75" s="77">
        <f t="shared" si="46"/>
        <v>123.16428771974005</v>
      </c>
      <c r="X75">
        <v>1.44</v>
      </c>
      <c r="Y75" s="47">
        <f t="shared" si="47"/>
        <v>5.5070877471182706</v>
      </c>
      <c r="Z75">
        <v>34</v>
      </c>
    </row>
    <row r="76" spans="1:26" ht="15" customHeight="1" thickBot="1">
      <c r="A76">
        <v>34.5</v>
      </c>
      <c r="B76" t="s">
        <v>167</v>
      </c>
      <c r="C76">
        <v>0.02</v>
      </c>
      <c r="D76">
        <v>100</v>
      </c>
      <c r="E76" s="37">
        <f t="shared" si="32"/>
        <v>34.528571428571432</v>
      </c>
      <c r="F76">
        <v>30</v>
      </c>
      <c r="G76" s="71">
        <f t="shared" si="33"/>
        <v>1.4285714285714286</v>
      </c>
      <c r="H76" s="39">
        <f t="shared" si="34"/>
        <v>100</v>
      </c>
      <c r="I76">
        <v>100</v>
      </c>
      <c r="J76" s="71">
        <f t="shared" si="35"/>
        <v>2.8571428571428574E-2</v>
      </c>
      <c r="K76" s="71">
        <f t="shared" si="36"/>
        <v>34.557142857142857</v>
      </c>
      <c r="L76" s="72">
        <f t="shared" si="37"/>
        <v>42.67215188869406</v>
      </c>
      <c r="M76" s="73">
        <f t="shared" si="38"/>
        <v>0.92187391034133381</v>
      </c>
      <c r="N76" s="73">
        <f t="shared" si="39"/>
        <v>0.73524413050332849</v>
      </c>
      <c r="O76" s="74">
        <f t="shared" si="40"/>
        <v>26.475586949667147</v>
      </c>
      <c r="P76" s="75">
        <f t="shared" si="41"/>
        <v>1.3600924625068773</v>
      </c>
      <c r="Q76" s="37">
        <f t="shared" si="42"/>
        <v>2.7201849250137546E-2</v>
      </c>
      <c r="R76" s="43">
        <f t="shared" si="43"/>
        <v>34.554403698500273</v>
      </c>
      <c r="S76" s="76">
        <f t="shared" si="44"/>
        <v>0.67780238164261741</v>
      </c>
      <c r="T76">
        <v>217</v>
      </c>
      <c r="U76" s="44">
        <f t="shared" si="45"/>
        <v>320.15231264622031</v>
      </c>
      <c r="V76">
        <v>41.5</v>
      </c>
      <c r="W76" s="77">
        <f t="shared" si="46"/>
        <v>122.6442490908572</v>
      </c>
      <c r="X76">
        <v>1.44</v>
      </c>
      <c r="Y76" s="47">
        <f t="shared" si="47"/>
        <v>5.7759095970840546</v>
      </c>
      <c r="Z76">
        <v>34.5</v>
      </c>
    </row>
    <row r="77" spans="1:26" ht="15" customHeight="1" thickBot="1">
      <c r="A77">
        <v>35</v>
      </c>
      <c r="B77" t="s">
        <v>167</v>
      </c>
      <c r="C77">
        <v>0.02</v>
      </c>
      <c r="D77">
        <v>100</v>
      </c>
      <c r="E77" s="37">
        <f t="shared" si="32"/>
        <v>35.028571428571432</v>
      </c>
      <c r="F77">
        <v>30</v>
      </c>
      <c r="G77" s="71">
        <f t="shared" si="33"/>
        <v>1.4285714285714286</v>
      </c>
      <c r="H77" s="39">
        <f t="shared" si="34"/>
        <v>100</v>
      </c>
      <c r="I77">
        <v>100</v>
      </c>
      <c r="J77" s="71">
        <f t="shared" si="35"/>
        <v>2.8571428571428574E-2</v>
      </c>
      <c r="K77" s="71">
        <f t="shared" si="36"/>
        <v>35.057142857142857</v>
      </c>
      <c r="L77" s="72">
        <f t="shared" si="37"/>
        <v>42.26189600380593</v>
      </c>
      <c r="M77" s="73">
        <f t="shared" si="38"/>
        <v>0.90871502499796253</v>
      </c>
      <c r="N77" s="73">
        <f t="shared" si="39"/>
        <v>0.74007852021703646</v>
      </c>
      <c r="O77" s="74">
        <f t="shared" si="40"/>
        <v>25.992147978296359</v>
      </c>
      <c r="P77" s="75">
        <f t="shared" si="41"/>
        <v>1.3512079768329699</v>
      </c>
      <c r="Q77" s="37">
        <f t="shared" si="42"/>
        <v>2.70241595366594E-2</v>
      </c>
      <c r="R77" s="43">
        <f t="shared" si="43"/>
        <v>35.054048319073317</v>
      </c>
      <c r="S77" s="76">
        <f t="shared" si="44"/>
        <v>0.67252047099947942</v>
      </c>
      <c r="T77">
        <v>218</v>
      </c>
      <c r="U77" s="44">
        <f t="shared" si="45"/>
        <v>324.1537014866106</v>
      </c>
      <c r="V77">
        <v>41.5</v>
      </c>
      <c r="W77" s="77">
        <f t="shared" si="46"/>
        <v>123.05895484241404</v>
      </c>
      <c r="X77">
        <v>1.44</v>
      </c>
      <c r="Y77" s="47">
        <f t="shared" si="47"/>
        <v>5.7832208646788921</v>
      </c>
      <c r="Z77">
        <v>35</v>
      </c>
    </row>
    <row r="78" spans="1:26" ht="15" customHeight="1" thickBot="1">
      <c r="A78">
        <v>35.5</v>
      </c>
      <c r="B78" t="s">
        <v>167</v>
      </c>
      <c r="C78">
        <v>0.02</v>
      </c>
      <c r="D78">
        <v>100</v>
      </c>
      <c r="E78" s="37">
        <f t="shared" si="32"/>
        <v>35.528571428571432</v>
      </c>
      <c r="F78">
        <v>30</v>
      </c>
      <c r="G78" s="71">
        <f t="shared" si="33"/>
        <v>1.4285714285714286</v>
      </c>
      <c r="H78" s="39">
        <f t="shared" si="34"/>
        <v>100</v>
      </c>
      <c r="I78">
        <v>100</v>
      </c>
      <c r="J78" s="71">
        <f t="shared" si="35"/>
        <v>2.8571428571428574E-2</v>
      </c>
      <c r="K78" s="71">
        <f t="shared" si="36"/>
        <v>35.557142857142857</v>
      </c>
      <c r="L78" s="72">
        <f t="shared" si="37"/>
        <v>41.8580050150833</v>
      </c>
      <c r="M78" s="73">
        <f t="shared" si="38"/>
        <v>0.89592651439284443</v>
      </c>
      <c r="N78" s="73">
        <f t="shared" si="39"/>
        <v>0.74480084295122895</v>
      </c>
      <c r="O78" s="74">
        <f t="shared" si="40"/>
        <v>25.519915704877107</v>
      </c>
      <c r="P78" s="75">
        <f t="shared" si="41"/>
        <v>1.3426408005092469</v>
      </c>
      <c r="Q78" s="37">
        <f t="shared" si="42"/>
        <v>2.6852816010184938E-2</v>
      </c>
      <c r="R78" s="43">
        <f t="shared" si="43"/>
        <v>35.553705632020367</v>
      </c>
      <c r="S78" s="76">
        <f t="shared" si="44"/>
        <v>0.66728682314214682</v>
      </c>
      <c r="T78">
        <v>219</v>
      </c>
      <c r="U78" s="44">
        <f t="shared" si="45"/>
        <v>328.19470189560172</v>
      </c>
      <c r="V78">
        <v>41.5</v>
      </c>
      <c r="W78" s="77">
        <f t="shared" si="46"/>
        <v>123.47635238815165</v>
      </c>
      <c r="X78">
        <v>1.44</v>
      </c>
      <c r="Y78" s="47">
        <f t="shared" si="47"/>
        <v>5.79159992195817</v>
      </c>
      <c r="Z78">
        <v>35.5</v>
      </c>
    </row>
    <row r="79" spans="1:26" ht="15" customHeight="1" thickBot="1">
      <c r="A79">
        <v>36</v>
      </c>
      <c r="B79" t="s">
        <v>167</v>
      </c>
      <c r="C79">
        <v>0.02</v>
      </c>
      <c r="D79">
        <v>100</v>
      </c>
      <c r="E79" s="37">
        <f t="shared" si="32"/>
        <v>36.028571428571432</v>
      </c>
      <c r="F79">
        <v>30</v>
      </c>
      <c r="G79" s="71">
        <f t="shared" si="33"/>
        <v>1.4285714285714286</v>
      </c>
      <c r="H79" s="39">
        <f t="shared" si="34"/>
        <v>100</v>
      </c>
      <c r="I79">
        <v>100</v>
      </c>
      <c r="J79" s="71">
        <f t="shared" si="35"/>
        <v>2.8571428571428574E-2</v>
      </c>
      <c r="K79" s="71">
        <f t="shared" si="36"/>
        <v>36.057142857142857</v>
      </c>
      <c r="L79" s="72">
        <f t="shared" si="37"/>
        <v>41.460371159587304</v>
      </c>
      <c r="M79" s="73">
        <f t="shared" si="38"/>
        <v>0.88349295848334819</v>
      </c>
      <c r="N79" s="73">
        <f t="shared" si="39"/>
        <v>0.74941385341781597</v>
      </c>
      <c r="O79" s="74">
        <f t="shared" si="40"/>
        <v>25.058614658218403</v>
      </c>
      <c r="P79" s="75">
        <f t="shared" si="41"/>
        <v>1.3343761867215929</v>
      </c>
      <c r="Q79" s="37">
        <f t="shared" si="42"/>
        <v>2.6687523734431857E-2</v>
      </c>
      <c r="R79" s="43">
        <f t="shared" si="43"/>
        <v>36.053375047468862</v>
      </c>
      <c r="S79" s="76">
        <f t="shared" si="44"/>
        <v>0.66210186248451242</v>
      </c>
      <c r="T79">
        <v>220</v>
      </c>
      <c r="U79" s="44">
        <f t="shared" si="45"/>
        <v>332.2751565362741</v>
      </c>
      <c r="V79">
        <v>41.5</v>
      </c>
      <c r="W79" s="77">
        <f t="shared" si="46"/>
        <v>123.89639835376785</v>
      </c>
      <c r="X79">
        <v>1.44</v>
      </c>
      <c r="Y79" s="47">
        <f t="shared" si="47"/>
        <v>5.8010022570275108</v>
      </c>
      <c r="Z79">
        <v>36</v>
      </c>
    </row>
    <row r="80" spans="1:26" ht="15" customHeight="1" thickBot="1">
      <c r="A80">
        <v>36.5</v>
      </c>
      <c r="B80" t="s">
        <v>167</v>
      </c>
      <c r="C80">
        <v>0.02</v>
      </c>
      <c r="D80">
        <v>100</v>
      </c>
      <c r="E80" s="37">
        <f t="shared" si="32"/>
        <v>36.528571428571432</v>
      </c>
      <c r="F80">
        <v>30</v>
      </c>
      <c r="G80" s="71">
        <f t="shared" si="33"/>
        <v>1.4285714285714286</v>
      </c>
      <c r="H80" s="39">
        <f t="shared" si="34"/>
        <v>100</v>
      </c>
      <c r="I80">
        <v>100</v>
      </c>
      <c r="J80" s="71">
        <f t="shared" si="35"/>
        <v>2.8571428571428574E-2</v>
      </c>
      <c r="K80" s="71">
        <f t="shared" si="36"/>
        <v>36.557142857142857</v>
      </c>
      <c r="L80" s="72">
        <f t="shared" si="37"/>
        <v>41.068887575879188</v>
      </c>
      <c r="M80" s="73">
        <f t="shared" si="38"/>
        <v>0.87139978149980613</v>
      </c>
      <c r="N80" s="73">
        <f t="shared" si="39"/>
        <v>0.75392025333628987</v>
      </c>
      <c r="O80" s="74">
        <f t="shared" si="40"/>
        <v>24.607974666371007</v>
      </c>
      <c r="P80" s="75">
        <f t="shared" si="41"/>
        <v>1.326400233412943</v>
      </c>
      <c r="Q80" s="37">
        <f t="shared" si="42"/>
        <v>2.6528004668258859E-2</v>
      </c>
      <c r="R80" s="43">
        <f t="shared" si="43"/>
        <v>36.553056009336515</v>
      </c>
      <c r="S80" s="76">
        <f t="shared" si="44"/>
        <v>0.65696594402552144</v>
      </c>
      <c r="T80">
        <v>221</v>
      </c>
      <c r="U80" s="44">
        <f t="shared" si="45"/>
        <v>336.39491058826439</v>
      </c>
      <c r="V80">
        <v>41.5</v>
      </c>
      <c r="W80" s="77">
        <f t="shared" si="46"/>
        <v>124.31905003778229</v>
      </c>
      <c r="X80">
        <v>1.44</v>
      </c>
      <c r="Y80" s="47">
        <f t="shared" si="47"/>
        <v>5.8113857991912878</v>
      </c>
      <c r="Z80">
        <v>36.5</v>
      </c>
    </row>
    <row r="81" spans="1:26" ht="15" customHeight="1" thickBot="1">
      <c r="A81">
        <v>37</v>
      </c>
      <c r="B81" t="s">
        <v>167</v>
      </c>
      <c r="C81">
        <v>0.02</v>
      </c>
      <c r="D81">
        <v>100</v>
      </c>
      <c r="E81" s="37">
        <f t="shared" si="32"/>
        <v>37.028571428571432</v>
      </c>
      <c r="F81">
        <v>30</v>
      </c>
      <c r="G81" s="71">
        <f t="shared" si="33"/>
        <v>1.4285714285714286</v>
      </c>
      <c r="H81" s="39">
        <f t="shared" si="34"/>
        <v>100</v>
      </c>
      <c r="I81">
        <v>100</v>
      </c>
      <c r="J81" s="71">
        <f t="shared" si="35"/>
        <v>2.8571428571428574E-2</v>
      </c>
      <c r="K81" s="71">
        <f t="shared" si="36"/>
        <v>37.057142857142857</v>
      </c>
      <c r="L81" s="72">
        <f t="shared" si="37"/>
        <v>40.683448384995287</v>
      </c>
      <c r="M81" s="73">
        <f t="shared" si="38"/>
        <v>0.85963319494406021</v>
      </c>
      <c r="N81" s="73">
        <f t="shared" si="39"/>
        <v>0.75832269076018577</v>
      </c>
      <c r="O81" s="74">
        <f t="shared" si="40"/>
        <v>24.167730923981424</v>
      </c>
      <c r="P81" s="75">
        <f t="shared" si="41"/>
        <v>1.3186998255288169</v>
      </c>
      <c r="Q81" s="37">
        <f t="shared" si="42"/>
        <v>2.6373996510576338E-2</v>
      </c>
      <c r="R81" s="43">
        <f t="shared" si="43"/>
        <v>37.05274799302115</v>
      </c>
      <c r="S81" s="76">
        <f t="shared" si="44"/>
        <v>0.65187935745675496</v>
      </c>
      <c r="T81">
        <v>222</v>
      </c>
      <c r="U81" s="44">
        <f t="shared" si="45"/>
        <v>340.55381177601907</v>
      </c>
      <c r="V81">
        <v>41.5</v>
      </c>
      <c r="W81" s="77">
        <f t="shared" si="46"/>
        <v>124.74426541208648</v>
      </c>
      <c r="X81">
        <v>1.44</v>
      </c>
      <c r="Y81" s="47">
        <f t="shared" si="47"/>
        <v>5.8227107537870815</v>
      </c>
      <c r="Z81">
        <v>37</v>
      </c>
    </row>
    <row r="82" spans="1:26" ht="15" customHeight="1" thickBot="1">
      <c r="A82">
        <v>37.5</v>
      </c>
      <c r="B82" t="s">
        <v>167</v>
      </c>
      <c r="C82">
        <v>0.02</v>
      </c>
      <c r="D82">
        <v>100</v>
      </c>
      <c r="E82" s="37">
        <f t="shared" si="32"/>
        <v>37.528571428571432</v>
      </c>
      <c r="F82">
        <v>30</v>
      </c>
      <c r="G82" s="71">
        <f t="shared" si="33"/>
        <v>1.4285714285714286</v>
      </c>
      <c r="H82" s="39">
        <f t="shared" si="34"/>
        <v>100</v>
      </c>
      <c r="I82">
        <v>100</v>
      </c>
      <c r="J82" s="71">
        <f t="shared" si="35"/>
        <v>2.8571428571428574E-2</v>
      </c>
      <c r="K82" s="71">
        <f t="shared" si="36"/>
        <v>37.557142857142857</v>
      </c>
      <c r="L82" s="72">
        <f t="shared" si="37"/>
        <v>40.303948763307126</v>
      </c>
      <c r="M82" s="73">
        <f t="shared" si="38"/>
        <v>0.84818014514465323</v>
      </c>
      <c r="N82" s="73">
        <f t="shared" si="39"/>
        <v>0.76262375959235695</v>
      </c>
      <c r="O82" s="74">
        <f t="shared" si="40"/>
        <v>23.737624040764302</v>
      </c>
      <c r="P82" s="75">
        <f t="shared" si="41"/>
        <v>1.311262581871993</v>
      </c>
      <c r="Q82" s="37">
        <f t="shared" si="42"/>
        <v>2.6225251637439859E-2</v>
      </c>
      <c r="R82" s="43">
        <f t="shared" si="43"/>
        <v>37.552450503274876</v>
      </c>
      <c r="S82" s="76">
        <f t="shared" si="44"/>
        <v>0.64684233110180644</v>
      </c>
      <c r="T82">
        <v>223</v>
      </c>
      <c r="U82" s="44">
        <f t="shared" si="45"/>
        <v>344.75171038999616</v>
      </c>
      <c r="V82">
        <v>41.5</v>
      </c>
      <c r="W82" s="77">
        <f t="shared" si="46"/>
        <v>125.17200312141154</v>
      </c>
      <c r="X82">
        <v>1.44</v>
      </c>
      <c r="Y82" s="47">
        <f t="shared" si="47"/>
        <v>5.8349394502565373</v>
      </c>
      <c r="Z82">
        <v>37.5</v>
      </c>
    </row>
    <row r="83" spans="1:26" ht="15" customHeight="1" thickBot="1">
      <c r="A83">
        <v>38</v>
      </c>
      <c r="B83" t="s">
        <v>167</v>
      </c>
      <c r="C83">
        <v>0.02</v>
      </c>
      <c r="D83">
        <v>100</v>
      </c>
      <c r="E83" s="37">
        <f t="shared" si="32"/>
        <v>38.028571428571432</v>
      </c>
      <c r="F83">
        <v>30</v>
      </c>
      <c r="G83" s="71">
        <f t="shared" si="33"/>
        <v>1.4285714285714286</v>
      </c>
      <c r="H83" s="39">
        <f t="shared" si="34"/>
        <v>100</v>
      </c>
      <c r="I83">
        <v>100</v>
      </c>
      <c r="J83" s="71">
        <f t="shared" si="35"/>
        <v>2.8571428571428574E-2</v>
      </c>
      <c r="K83" s="71">
        <f t="shared" si="36"/>
        <v>38.057142857142857</v>
      </c>
      <c r="L83" s="72">
        <f t="shared" si="37"/>
        <v>39.930285007766528</v>
      </c>
      <c r="M83" s="73">
        <f t="shared" si="38"/>
        <v>0.83702826494928773</v>
      </c>
      <c r="N83" s="73">
        <f t="shared" si="39"/>
        <v>0.76682599927262329</v>
      </c>
      <c r="O83" s="74">
        <f t="shared" si="40"/>
        <v>23.317400072737669</v>
      </c>
      <c r="P83" s="75">
        <f t="shared" si="41"/>
        <v>1.3040768061444905</v>
      </c>
      <c r="Q83" s="37">
        <f t="shared" si="42"/>
        <v>2.6081536122889812E-2</v>
      </c>
      <c r="R83" s="43">
        <f t="shared" si="43"/>
        <v>38.052163072245783</v>
      </c>
      <c r="S83" s="76">
        <f t="shared" si="44"/>
        <v>0.64185503568916769</v>
      </c>
      <c r="T83">
        <v>224</v>
      </c>
      <c r="U83" s="44">
        <f t="shared" si="45"/>
        <v>348.98845930138793</v>
      </c>
      <c r="V83">
        <v>41.5</v>
      </c>
      <c r="W83" s="77">
        <f t="shared" si="46"/>
        <v>125.60222248180557</v>
      </c>
      <c r="X83">
        <v>1.44</v>
      </c>
      <c r="Y83" s="47">
        <f t="shared" si="47"/>
        <v>5.8480362022308938</v>
      </c>
      <c r="Z83">
        <v>38</v>
      </c>
    </row>
    <row r="84" spans="1:26" ht="15" customHeight="1" thickBot="1">
      <c r="A84">
        <v>38.5</v>
      </c>
      <c r="B84" t="s">
        <v>167</v>
      </c>
      <c r="C84">
        <v>0.02</v>
      </c>
      <c r="D84">
        <v>100</v>
      </c>
      <c r="E84" s="37">
        <f t="shared" si="32"/>
        <v>38.528571428571432</v>
      </c>
      <c r="F84">
        <v>30</v>
      </c>
      <c r="G84" s="71">
        <f t="shared" si="33"/>
        <v>1.4285714285714286</v>
      </c>
      <c r="H84" s="39">
        <f t="shared" si="34"/>
        <v>100</v>
      </c>
      <c r="I84">
        <v>100</v>
      </c>
      <c r="J84" s="71">
        <f t="shared" si="35"/>
        <v>2.8571428571428574E-2</v>
      </c>
      <c r="K84" s="71">
        <f t="shared" si="36"/>
        <v>38.557142857142857</v>
      </c>
      <c r="L84" s="72">
        <f t="shared" si="37"/>
        <v>39.562354594016369</v>
      </c>
      <c r="M84" s="73">
        <f t="shared" si="38"/>
        <v>0.82616582917871861</v>
      </c>
      <c r="N84" s="73">
        <f t="shared" si="39"/>
        <v>0.77093189462232803</v>
      </c>
      <c r="O84" s="74">
        <f t="shared" si="40"/>
        <v>22.9068105377672</v>
      </c>
      <c r="P84" s="75">
        <f t="shared" si="41"/>
        <v>1.2971314417986173</v>
      </c>
      <c r="Q84" s="37">
        <f t="shared" si="42"/>
        <v>2.5942628835972346E-2</v>
      </c>
      <c r="R84" s="43">
        <f t="shared" si="43"/>
        <v>38.551885257671948</v>
      </c>
      <c r="S84" s="76">
        <f t="shared" si="44"/>
        <v>0.63691758796097619</v>
      </c>
      <c r="T84">
        <v>225</v>
      </c>
      <c r="U84" s="44">
        <f t="shared" si="45"/>
        <v>353.26391397090089</v>
      </c>
      <c r="V84">
        <v>41.5</v>
      </c>
      <c r="W84" s="77">
        <f t="shared" si="46"/>
        <v>126.03488347820652</v>
      </c>
      <c r="X84">
        <v>1.44</v>
      </c>
      <c r="Y84" s="47">
        <f t="shared" si="47"/>
        <v>5.8619671785366361</v>
      </c>
      <c r="Z84">
        <v>38.5</v>
      </c>
    </row>
    <row r="85" spans="1:26" ht="15" customHeight="1" thickBot="1">
      <c r="A85">
        <v>39</v>
      </c>
      <c r="B85" t="s">
        <v>167</v>
      </c>
      <c r="C85">
        <v>0.02</v>
      </c>
      <c r="D85">
        <v>100</v>
      </c>
      <c r="E85" s="37">
        <f t="shared" si="32"/>
        <v>39.028571428571432</v>
      </c>
      <c r="F85">
        <v>30</v>
      </c>
      <c r="G85" s="71">
        <f t="shared" si="33"/>
        <v>1.4285714285714286</v>
      </c>
      <c r="H85" s="39">
        <f t="shared" si="34"/>
        <v>100</v>
      </c>
      <c r="I85">
        <v>100</v>
      </c>
      <c r="J85" s="71">
        <f t="shared" si="35"/>
        <v>2.8571428571428574E-2</v>
      </c>
      <c r="K85" s="71">
        <f t="shared" si="36"/>
        <v>39.057142857142857</v>
      </c>
      <c r="L85" s="72">
        <f t="shared" si="37"/>
        <v>39.200056227827687</v>
      </c>
      <c r="M85" s="73">
        <f t="shared" si="38"/>
        <v>0.81558171350475994</v>
      </c>
      <c r="N85" s="73">
        <f t="shared" si="39"/>
        <v>0.77494387583129443</v>
      </c>
      <c r="O85" s="74">
        <f t="shared" si="40"/>
        <v>22.505612416870562</v>
      </c>
      <c r="P85" s="75">
        <f t="shared" si="41"/>
        <v>1.2904160303574042</v>
      </c>
      <c r="Q85" s="37">
        <f t="shared" si="42"/>
        <v>2.5808320607148084E-2</v>
      </c>
      <c r="R85" s="43">
        <f t="shared" si="43"/>
        <v>39.051616641214295</v>
      </c>
      <c r="S85" s="76">
        <f t="shared" si="44"/>
        <v>0.63203005412050728</v>
      </c>
      <c r="T85">
        <v>226</v>
      </c>
      <c r="U85" s="44">
        <f t="shared" si="45"/>
        <v>357.57793245210024</v>
      </c>
      <c r="V85">
        <v>41.5</v>
      </c>
      <c r="W85" s="77">
        <f t="shared" si="46"/>
        <v>126.46994676119168</v>
      </c>
      <c r="X85">
        <v>1.44</v>
      </c>
      <c r="Y85" s="47">
        <f t="shared" si="47"/>
        <v>5.8767002841393126</v>
      </c>
      <c r="Z85">
        <v>39</v>
      </c>
    </row>
    <row r="86" spans="1:26" ht="15" customHeight="1" thickBot="1">
      <c r="A86">
        <v>39.5</v>
      </c>
      <c r="B86" t="s">
        <v>167</v>
      </c>
      <c r="C86">
        <v>0.02</v>
      </c>
      <c r="D86">
        <v>100</v>
      </c>
      <c r="E86" s="37">
        <f t="shared" si="32"/>
        <v>39.528571428571432</v>
      </c>
      <c r="F86">
        <v>30</v>
      </c>
      <c r="G86" s="71">
        <f t="shared" si="33"/>
        <v>1.4285714285714286</v>
      </c>
      <c r="H86" s="39">
        <f t="shared" si="34"/>
        <v>100</v>
      </c>
      <c r="I86">
        <v>100</v>
      </c>
      <c r="J86" s="71">
        <f t="shared" si="35"/>
        <v>2.8571428571428574E-2</v>
      </c>
      <c r="K86" s="71">
        <f t="shared" si="36"/>
        <v>39.557142857142857</v>
      </c>
      <c r="L86" s="72">
        <f t="shared" si="37"/>
        <v>38.843289890304021</v>
      </c>
      <c r="M86" s="73">
        <f t="shared" si="38"/>
        <v>0.80526535644922448</v>
      </c>
      <c r="N86" s="73">
        <f t="shared" si="39"/>
        <v>0.77886431857360006</v>
      </c>
      <c r="O86" s="74">
        <f t="shared" si="40"/>
        <v>22.113568142639991</v>
      </c>
      <c r="P86" s="75">
        <f t="shared" si="41"/>
        <v>1.2839206728989516</v>
      </c>
      <c r="Q86" s="37">
        <f t="shared" si="42"/>
        <v>2.5678413457979034E-2</v>
      </c>
      <c r="R86" s="43">
        <f t="shared" si="43"/>
        <v>39.551356826915956</v>
      </c>
      <c r="S86" s="76">
        <f t="shared" si="44"/>
        <v>0.62719245312175242</v>
      </c>
      <c r="T86">
        <v>227</v>
      </c>
      <c r="U86" s="44">
        <f t="shared" si="45"/>
        <v>361.93037538979138</v>
      </c>
      <c r="V86">
        <v>41.5</v>
      </c>
      <c r="W86" s="77">
        <f t="shared" si="46"/>
        <v>126.90737364297914</v>
      </c>
      <c r="X86">
        <v>1.44</v>
      </c>
      <c r="Y86" s="47">
        <f t="shared" si="47"/>
        <v>5.8922050501431631</v>
      </c>
      <c r="Z86">
        <v>39.5</v>
      </c>
    </row>
    <row r="87" spans="1:26" ht="15" customHeight="1" thickBot="1">
      <c r="A87">
        <v>40</v>
      </c>
      <c r="B87" t="s">
        <v>167</v>
      </c>
      <c r="C87">
        <v>0.02</v>
      </c>
      <c r="D87">
        <v>100</v>
      </c>
      <c r="E87" s="37">
        <f t="shared" si="32"/>
        <v>40.028571428571432</v>
      </c>
      <c r="F87">
        <v>30</v>
      </c>
      <c r="G87" s="71">
        <f t="shared" si="33"/>
        <v>1.4285714285714286</v>
      </c>
      <c r="H87" s="39">
        <f t="shared" si="34"/>
        <v>100</v>
      </c>
      <c r="I87">
        <v>100</v>
      </c>
      <c r="J87" s="71">
        <f t="shared" si="35"/>
        <v>2.8571428571428574E-2</v>
      </c>
      <c r="K87" s="71">
        <f t="shared" si="36"/>
        <v>40.057142857142857</v>
      </c>
      <c r="L87" s="72">
        <f t="shared" si="37"/>
        <v>38.491956877273999</v>
      </c>
      <c r="M87" s="73">
        <f t="shared" si="38"/>
        <v>0.79520672423090799</v>
      </c>
      <c r="N87" s="73">
        <f t="shared" si="39"/>
        <v>0.78269554423947518</v>
      </c>
      <c r="O87" s="74">
        <f t="shared" si="40"/>
        <v>21.730445576052489</v>
      </c>
      <c r="P87" s="75">
        <f t="shared" si="41"/>
        <v>1.2776359944295761</v>
      </c>
      <c r="Q87" s="37">
        <f t="shared" si="42"/>
        <v>2.5552719888591521E-2</v>
      </c>
      <c r="R87" s="43">
        <f t="shared" si="43"/>
        <v>40.051105439777182</v>
      </c>
      <c r="S87" s="76">
        <f t="shared" si="44"/>
        <v>0.6224047598048007</v>
      </c>
      <c r="T87">
        <v>228</v>
      </c>
      <c r="U87" s="44">
        <f t="shared" si="45"/>
        <v>366.32110601388337</v>
      </c>
      <c r="V87">
        <v>41.5</v>
      </c>
      <c r="W87" s="77">
        <f t="shared" si="46"/>
        <v>127.34712609275266</v>
      </c>
      <c r="X87">
        <v>1.44</v>
      </c>
      <c r="Y87" s="47">
        <f t="shared" si="47"/>
        <v>5.9084525320527783</v>
      </c>
      <c r="Z87">
        <v>40</v>
      </c>
    </row>
    <row r="88" spans="1:26" ht="15" customHeight="1" thickBot="1">
      <c r="A88">
        <v>40.5</v>
      </c>
      <c r="B88" t="s">
        <v>167</v>
      </c>
      <c r="C88">
        <v>0.02</v>
      </c>
      <c r="D88">
        <v>100</v>
      </c>
      <c r="E88" s="37">
        <f t="shared" si="32"/>
        <v>40.528571428571432</v>
      </c>
      <c r="F88">
        <v>30</v>
      </c>
      <c r="G88" s="71">
        <f t="shared" si="33"/>
        <v>1.4285714285714286</v>
      </c>
      <c r="H88" s="39">
        <f t="shared" si="34"/>
        <v>100</v>
      </c>
      <c r="I88">
        <v>100</v>
      </c>
      <c r="J88" s="71">
        <f t="shared" si="35"/>
        <v>2.8571428571428574E-2</v>
      </c>
      <c r="K88" s="71">
        <f t="shared" si="36"/>
        <v>40.557142857142857</v>
      </c>
      <c r="L88" s="72">
        <f t="shared" si="37"/>
        <v>38.145959833272912</v>
      </c>
      <c r="M88" s="73">
        <f t="shared" si="38"/>
        <v>0.78539627821466484</v>
      </c>
      <c r="N88" s="73">
        <f t="shared" si="39"/>
        <v>0.78643982027149928</v>
      </c>
      <c r="O88" s="74">
        <f t="shared" si="40"/>
        <v>21.356017972850069</v>
      </c>
      <c r="P88" s="75">
        <f t="shared" si="41"/>
        <v>1.2715531108976326</v>
      </c>
      <c r="Q88" s="37">
        <f t="shared" si="42"/>
        <v>2.5431062217952653E-2</v>
      </c>
      <c r="R88" s="43">
        <f t="shared" si="43"/>
        <v>40.550862124435902</v>
      </c>
      <c r="S88" s="76">
        <f t="shared" si="44"/>
        <v>0.6176669078810455</v>
      </c>
      <c r="T88">
        <v>229</v>
      </c>
      <c r="U88" s="44">
        <f t="shared" si="45"/>
        <v>370.74999012914964</v>
      </c>
      <c r="V88">
        <v>41.5</v>
      </c>
      <c r="W88" s="77">
        <f t="shared" si="46"/>
        <v>127.78916673137596</v>
      </c>
      <c r="X88">
        <v>1.44</v>
      </c>
      <c r="Y88" s="47">
        <f t="shared" si="47"/>
        <v>5.9254152155813804</v>
      </c>
      <c r="Z88">
        <v>40.5</v>
      </c>
    </row>
    <row r="89" spans="1:26" ht="15" customHeight="1" thickBot="1">
      <c r="A89">
        <v>41</v>
      </c>
      <c r="B89" t="s">
        <v>167</v>
      </c>
      <c r="C89">
        <v>0.02</v>
      </c>
      <c r="D89">
        <v>100</v>
      </c>
      <c r="E89" s="37">
        <f t="shared" si="32"/>
        <v>41.028571428571432</v>
      </c>
      <c r="F89">
        <v>30</v>
      </c>
      <c r="G89" s="71">
        <f t="shared" si="33"/>
        <v>1.4285714285714286</v>
      </c>
      <c r="H89" s="39">
        <f t="shared" si="34"/>
        <v>100</v>
      </c>
      <c r="I89">
        <v>100</v>
      </c>
      <c r="J89" s="71">
        <f t="shared" si="35"/>
        <v>2.8571428571428574E-2</v>
      </c>
      <c r="K89" s="71">
        <f t="shared" si="36"/>
        <v>41.057142857142857</v>
      </c>
      <c r="L89" s="72">
        <f t="shared" si="37"/>
        <v>37.80520278049471</v>
      </c>
      <c r="M89" s="73">
        <f t="shared" si="38"/>
        <v>0.77582494474060026</v>
      </c>
      <c r="N89" s="73">
        <f t="shared" si="39"/>
        <v>0.7900993605940847</v>
      </c>
      <c r="O89" s="74">
        <f t="shared" si="40"/>
        <v>20.990063940591526</v>
      </c>
      <c r="P89" s="75">
        <f t="shared" si="41"/>
        <v>1.2656635986239611</v>
      </c>
      <c r="Q89" s="37">
        <f t="shared" si="42"/>
        <v>2.531327197247922E-2</v>
      </c>
      <c r="R89" s="43">
        <f t="shared" si="43"/>
        <v>41.050626543944958</v>
      </c>
      <c r="S89" s="76">
        <f t="shared" si="44"/>
        <v>0.61297879277248934</v>
      </c>
      <c r="T89">
        <v>230</v>
      </c>
      <c r="U89" s="44">
        <f t="shared" si="45"/>
        <v>375.21689610127481</v>
      </c>
      <c r="V89">
        <v>41.5</v>
      </c>
      <c r="W89" s="77">
        <f t="shared" si="46"/>
        <v>128.23345882555853</v>
      </c>
      <c r="X89">
        <v>1.44</v>
      </c>
      <c r="Y89" s="47">
        <f t="shared" si="47"/>
        <v>5.9430669293604872</v>
      </c>
      <c r="Z89">
        <v>41</v>
      </c>
    </row>
    <row r="90" spans="1:26" ht="15" customHeight="1" thickBot="1">
      <c r="A90">
        <v>41.5</v>
      </c>
      <c r="B90" t="s">
        <v>167</v>
      </c>
      <c r="C90">
        <v>0.02</v>
      </c>
      <c r="D90">
        <v>100</v>
      </c>
      <c r="E90" s="37">
        <f t="shared" si="32"/>
        <v>41.528571428571432</v>
      </c>
      <c r="F90">
        <v>30</v>
      </c>
      <c r="G90" s="71">
        <f t="shared" si="33"/>
        <v>1.4285714285714286</v>
      </c>
      <c r="H90" s="39">
        <f t="shared" si="34"/>
        <v>100</v>
      </c>
      <c r="I90">
        <v>100</v>
      </c>
      <c r="J90" s="71">
        <f t="shared" si="35"/>
        <v>2.8571428571428574E-2</v>
      </c>
      <c r="K90" s="71">
        <f t="shared" si="36"/>
        <v>41.557142857142857</v>
      </c>
      <c r="L90" s="72">
        <f t="shared" si="37"/>
        <v>37.469591143076258</v>
      </c>
      <c r="M90" s="73">
        <f t="shared" si="38"/>
        <v>0.76648408713278438</v>
      </c>
      <c r="N90" s="73">
        <f t="shared" si="39"/>
        <v>0.79367632612602745</v>
      </c>
      <c r="O90" s="74">
        <f t="shared" si="40"/>
        <v>20.632367387397252</v>
      </c>
      <c r="P90" s="75">
        <f t="shared" si="41"/>
        <v>1.2599594659463365</v>
      </c>
      <c r="Q90" s="37">
        <f t="shared" si="42"/>
        <v>2.5199189318926729E-2</v>
      </c>
      <c r="R90" s="43">
        <f t="shared" si="43"/>
        <v>41.550398378637851</v>
      </c>
      <c r="S90" s="76">
        <f t="shared" si="44"/>
        <v>0.60834027430961013</v>
      </c>
      <c r="T90">
        <v>231</v>
      </c>
      <c r="U90" s="44">
        <f t="shared" si="45"/>
        <v>379.72169483954684</v>
      </c>
      <c r="V90">
        <v>41.5</v>
      </c>
      <c r="W90" s="77">
        <f t="shared" si="46"/>
        <v>128.67996628153057</v>
      </c>
      <c r="X90">
        <v>1.44</v>
      </c>
      <c r="Y90" s="47">
        <f t="shared" si="47"/>
        <v>5.9613827639678378</v>
      </c>
      <c r="Z90">
        <v>41.5</v>
      </c>
    </row>
    <row r="91" spans="1:26" ht="15" customHeight="1" thickBot="1">
      <c r="A91">
        <v>42</v>
      </c>
      <c r="B91" t="s">
        <v>167</v>
      </c>
      <c r="C91">
        <v>0.02</v>
      </c>
      <c r="D91">
        <v>100</v>
      </c>
      <c r="E91" s="37">
        <f t="shared" si="32"/>
        <v>42.028571428571432</v>
      </c>
      <c r="F91">
        <v>30</v>
      </c>
      <c r="G91" s="71">
        <f t="shared" si="33"/>
        <v>1.4285714285714286</v>
      </c>
      <c r="H91" s="39">
        <f t="shared" si="34"/>
        <v>100</v>
      </c>
      <c r="I91">
        <v>100</v>
      </c>
      <c r="J91" s="71">
        <f t="shared" si="35"/>
        <v>2.8571428571428574E-2</v>
      </c>
      <c r="K91" s="71">
        <f t="shared" si="36"/>
        <v>42.057142857142857</v>
      </c>
      <c r="L91" s="72">
        <f t="shared" si="37"/>
        <v>37.139031767056622</v>
      </c>
      <c r="M91" s="73">
        <f t="shared" si="38"/>
        <v>0.75736547970598367</v>
      </c>
      <c r="N91" s="73">
        <f t="shared" si="39"/>
        <v>0.79717282536665168</v>
      </c>
      <c r="O91" s="74">
        <f t="shared" si="40"/>
        <v>20.282717463334833</v>
      </c>
      <c r="P91" s="75">
        <f t="shared" si="41"/>
        <v>1.2544331268944848</v>
      </c>
      <c r="Q91" s="37">
        <f t="shared" si="42"/>
        <v>2.5088662537889696E-2</v>
      </c>
      <c r="R91" s="43">
        <f t="shared" si="43"/>
        <v>42.050177325075779</v>
      </c>
      <c r="S91" s="76">
        <f t="shared" si="44"/>
        <v>0.60375117929238853</v>
      </c>
      <c r="T91">
        <v>232</v>
      </c>
      <c r="U91" s="44">
        <f t="shared" si="45"/>
        <v>384.26425977653543</v>
      </c>
      <c r="V91">
        <v>41.5</v>
      </c>
      <c r="W91" s="77">
        <f t="shared" si="46"/>
        <v>129.12865363828075</v>
      </c>
      <c r="X91">
        <v>1.44</v>
      </c>
      <c r="Y91" s="47">
        <f t="shared" si="47"/>
        <v>5.9803389967462754</v>
      </c>
      <c r="Z91">
        <v>42</v>
      </c>
    </row>
    <row r="92" spans="1:26" ht="15" customHeight="1" thickBot="1">
      <c r="A92">
        <v>42.5</v>
      </c>
      <c r="B92" t="s">
        <v>167</v>
      </c>
      <c r="C92">
        <v>0.02</v>
      </c>
      <c r="D92">
        <v>100</v>
      </c>
      <c r="E92" s="37">
        <f t="shared" si="32"/>
        <v>42.528571428571432</v>
      </c>
      <c r="F92">
        <v>30</v>
      </c>
      <c r="G92" s="71">
        <f t="shared" si="33"/>
        <v>1.4285714285714286</v>
      </c>
      <c r="H92" s="39">
        <f t="shared" si="34"/>
        <v>100</v>
      </c>
      <c r="I92">
        <v>100</v>
      </c>
      <c r="J92" s="71">
        <f t="shared" si="35"/>
        <v>2.8571428571428574E-2</v>
      </c>
      <c r="K92" s="71">
        <f t="shared" si="36"/>
        <v>42.557142857142857</v>
      </c>
      <c r="L92" s="72">
        <f t="shared" si="37"/>
        <v>36.81343293633595</v>
      </c>
      <c r="M92" s="73">
        <f t="shared" si="38"/>
        <v>0.74846128360598052</v>
      </c>
      <c r="N92" s="73">
        <f t="shared" si="39"/>
        <v>0.80059091504678503</v>
      </c>
      <c r="O92" s="74">
        <f t="shared" si="40"/>
        <v>19.940908495321494</v>
      </c>
      <c r="P92" s="75">
        <f t="shared" si="41"/>
        <v>1.2490773767293648</v>
      </c>
      <c r="Q92" s="37">
        <f t="shared" si="42"/>
        <v>2.4981547534587298E-2</v>
      </c>
      <c r="R92" s="43">
        <f t="shared" si="43"/>
        <v>42.549963095069174</v>
      </c>
      <c r="S92" s="76">
        <f t="shared" si="44"/>
        <v>0.59921130391920296</v>
      </c>
      <c r="T92">
        <v>233</v>
      </c>
      <c r="U92" s="44">
        <f t="shared" si="45"/>
        <v>388.84446684506719</v>
      </c>
      <c r="V92">
        <v>41.5</v>
      </c>
      <c r="W92" s="77">
        <f t="shared" si="46"/>
        <v>129.57948606040713</v>
      </c>
      <c r="X92">
        <v>1.44</v>
      </c>
      <c r="Y92" s="47">
        <f t="shared" si="47"/>
        <v>5.9999130219358783</v>
      </c>
      <c r="Z92">
        <v>42.5</v>
      </c>
    </row>
    <row r="93" spans="1:26" ht="15" customHeight="1" thickBot="1">
      <c r="A93">
        <v>43</v>
      </c>
      <c r="B93" t="s">
        <v>167</v>
      </c>
      <c r="C93">
        <v>0.02</v>
      </c>
      <c r="D93">
        <v>100</v>
      </c>
      <c r="E93" s="37">
        <f t="shared" si="32"/>
        <v>43.028571428571432</v>
      </c>
      <c r="F93">
        <v>30</v>
      </c>
      <c r="G93" s="71">
        <f t="shared" si="33"/>
        <v>1.4285714285714286</v>
      </c>
      <c r="H93" s="39">
        <f t="shared" si="34"/>
        <v>100</v>
      </c>
      <c r="I93">
        <v>100</v>
      </c>
      <c r="J93" s="71">
        <f t="shared" si="35"/>
        <v>2.8571428571428574E-2</v>
      </c>
      <c r="K93" s="71">
        <f t="shared" si="36"/>
        <v>43.057142857142857</v>
      </c>
      <c r="L93" s="72">
        <f t="shared" si="37"/>
        <v>36.49270438494019</v>
      </c>
      <c r="M93" s="73">
        <f t="shared" si="38"/>
        <v>0.73976402433433075</v>
      </c>
      <c r="N93" s="73">
        <f t="shared" si="39"/>
        <v>0.80393260083647244</v>
      </c>
      <c r="O93" s="74">
        <f t="shared" si="40"/>
        <v>19.606739916352751</v>
      </c>
      <c r="P93" s="75">
        <f t="shared" si="41"/>
        <v>1.243885369195781</v>
      </c>
      <c r="Q93" s="37">
        <f t="shared" si="42"/>
        <v>2.487770738391562E-2</v>
      </c>
      <c r="R93" s="43">
        <f t="shared" si="43"/>
        <v>43.04975541476783</v>
      </c>
      <c r="S93" s="76">
        <f t="shared" si="44"/>
        <v>0.59472041608835413</v>
      </c>
      <c r="T93">
        <v>234</v>
      </c>
      <c r="U93" s="44">
        <f t="shared" si="45"/>
        <v>393.46219445278973</v>
      </c>
      <c r="V93">
        <v>41.5</v>
      </c>
      <c r="W93" s="77">
        <f t="shared" si="46"/>
        <v>130.03242933062683</v>
      </c>
      <c r="X93">
        <v>1.44</v>
      </c>
      <c r="Y93" s="47">
        <f t="shared" si="47"/>
        <v>6.0200832856862521</v>
      </c>
      <c r="Z93">
        <v>43</v>
      </c>
    </row>
    <row r="94" spans="1:26" ht="15" customHeight="1" thickBot="1">
      <c r="A94">
        <v>43.5</v>
      </c>
      <c r="B94" t="s">
        <v>167</v>
      </c>
      <c r="C94">
        <v>0.02</v>
      </c>
      <c r="D94">
        <v>100</v>
      </c>
      <c r="E94" s="37">
        <f t="shared" si="32"/>
        <v>43.528571428571432</v>
      </c>
      <c r="F94">
        <v>30</v>
      </c>
      <c r="G94" s="71">
        <f t="shared" si="33"/>
        <v>1.4285714285714286</v>
      </c>
      <c r="H94" s="39">
        <f t="shared" si="34"/>
        <v>100</v>
      </c>
      <c r="I94">
        <v>100</v>
      </c>
      <c r="J94" s="71">
        <f t="shared" si="35"/>
        <v>2.8571428571428574E-2</v>
      </c>
      <c r="K94" s="71">
        <f t="shared" si="36"/>
        <v>43.557142857142857</v>
      </c>
      <c r="L94" s="72">
        <f t="shared" si="37"/>
        <v>36.176757305880521</v>
      </c>
      <c r="M94" s="73">
        <f t="shared" si="38"/>
        <v>0.73126657082212143</v>
      </c>
      <c r="N94" s="73">
        <f t="shared" si="39"/>
        <v>0.80719983810197626</v>
      </c>
      <c r="O94" s="74">
        <f t="shared" si="40"/>
        <v>19.280016189802367</v>
      </c>
      <c r="P94" s="75">
        <f t="shared" si="41"/>
        <v>1.2388505953511681</v>
      </c>
      <c r="Q94" s="37">
        <f t="shared" si="42"/>
        <v>2.4777011907023364E-2</v>
      </c>
      <c r="R94" s="43">
        <f t="shared" si="43"/>
        <v>43.549554023814046</v>
      </c>
      <c r="S94" s="76">
        <f t="shared" si="44"/>
        <v>0.59027825757700358</v>
      </c>
      <c r="T94">
        <v>235</v>
      </c>
      <c r="U94" s="44">
        <f t="shared" si="45"/>
        <v>398.11732345459723</v>
      </c>
      <c r="V94">
        <v>41.5</v>
      </c>
      <c r="W94" s="77">
        <f t="shared" si="46"/>
        <v>130.48744984198848</v>
      </c>
      <c r="X94">
        <v>1.44</v>
      </c>
      <c r="Y94" s="47">
        <f t="shared" si="47"/>
        <v>6.0408292255556875</v>
      </c>
      <c r="Z94">
        <v>43.5</v>
      </c>
    </row>
    <row r="95" spans="1:26" ht="15" customHeight="1" thickBot="1">
      <c r="A95">
        <v>44</v>
      </c>
      <c r="B95" t="s">
        <v>167</v>
      </c>
      <c r="C95">
        <v>0.02</v>
      </c>
      <c r="D95">
        <v>100</v>
      </c>
      <c r="E95" s="37">
        <f t="shared" si="32"/>
        <v>44.028571428571432</v>
      </c>
      <c r="F95">
        <v>30</v>
      </c>
      <c r="G95" s="71">
        <f t="shared" si="33"/>
        <v>1.4285714285714286</v>
      </c>
      <c r="H95" s="39">
        <f t="shared" si="34"/>
        <v>100</v>
      </c>
      <c r="I95">
        <v>100</v>
      </c>
      <c r="J95" s="71">
        <f t="shared" si="35"/>
        <v>2.8571428571428574E-2</v>
      </c>
      <c r="K95" s="71">
        <f t="shared" si="36"/>
        <v>44.057142857142857</v>
      </c>
      <c r="L95" s="72">
        <f t="shared" si="37"/>
        <v>35.865504356879995</v>
      </c>
      <c r="M95" s="73">
        <f t="shared" si="38"/>
        <v>0.72296211592959259</v>
      </c>
      <c r="N95" s="73">
        <f t="shared" si="39"/>
        <v>0.81039453270519723</v>
      </c>
      <c r="O95" s="74">
        <f t="shared" si="40"/>
        <v>18.960546729480271</v>
      </c>
      <c r="P95" s="75">
        <f t="shared" si="41"/>
        <v>1.2339668638457817</v>
      </c>
      <c r="Q95" s="37">
        <f t="shared" si="42"/>
        <v>2.4679337276915635E-2</v>
      </c>
      <c r="R95" s="43">
        <f t="shared" si="43"/>
        <v>44.049358674553829</v>
      </c>
      <c r="S95" s="76">
        <f t="shared" si="44"/>
        <v>0.58588454610232299</v>
      </c>
      <c r="T95">
        <v>236</v>
      </c>
      <c r="U95" s="44">
        <f t="shared" si="45"/>
        <v>402.80973712316234</v>
      </c>
      <c r="V95">
        <v>41.5</v>
      </c>
      <c r="W95" s="77">
        <f t="shared" si="46"/>
        <v>130.94451458982624</v>
      </c>
      <c r="X95">
        <v>1.44</v>
      </c>
      <c r="Y95" s="47">
        <f t="shared" si="47"/>
        <v>6.062131214139872</v>
      </c>
      <c r="Z95">
        <v>44</v>
      </c>
    </row>
    <row r="96" spans="1:26" ht="15" customHeight="1" thickBot="1">
      <c r="A96">
        <v>44.5</v>
      </c>
      <c r="B96" t="s">
        <v>167</v>
      </c>
      <c r="C96">
        <v>0.02</v>
      </c>
      <c r="D96">
        <v>100</v>
      </c>
      <c r="E96" s="37">
        <f t="shared" si="32"/>
        <v>44.528571428571432</v>
      </c>
      <c r="F96">
        <v>30</v>
      </c>
      <c r="G96" s="71">
        <f t="shared" si="33"/>
        <v>1.4285714285714286</v>
      </c>
      <c r="H96" s="39">
        <f t="shared" si="34"/>
        <v>100</v>
      </c>
      <c r="I96">
        <v>100</v>
      </c>
      <c r="J96" s="71">
        <f t="shared" si="35"/>
        <v>2.8571428571428574E-2</v>
      </c>
      <c r="K96" s="71">
        <f t="shared" si="36"/>
        <v>44.557142857142857</v>
      </c>
      <c r="L96" s="72">
        <f t="shared" si="37"/>
        <v>35.558859663222847</v>
      </c>
      <c r="M96" s="73">
        <f t="shared" si="38"/>
        <v>0.71484415825954573</v>
      </c>
      <c r="N96" s="73">
        <f t="shared" si="39"/>
        <v>0.81351854183923145</v>
      </c>
      <c r="O96" s="74">
        <f t="shared" si="40"/>
        <v>18.648145816076863</v>
      </c>
      <c r="P96" s="75">
        <f t="shared" si="41"/>
        <v>1.2292282825406349</v>
      </c>
      <c r="Q96" s="37">
        <f t="shared" si="42"/>
        <v>2.4584565650812698E-2</v>
      </c>
      <c r="R96" s="43">
        <f t="shared" si="43"/>
        <v>44.549169131301625</v>
      </c>
      <c r="S96" s="76">
        <f t="shared" si="44"/>
        <v>0.58153897726959847</v>
      </c>
      <c r="T96">
        <v>237</v>
      </c>
      <c r="U96" s="44">
        <f t="shared" si="45"/>
        <v>407.53932111781393</v>
      </c>
      <c r="V96">
        <v>41.5</v>
      </c>
      <c r="W96" s="77">
        <f t="shared" si="46"/>
        <v>131.40359116349296</v>
      </c>
      <c r="X96">
        <v>1.44</v>
      </c>
      <c r="Y96" s="47">
        <f t="shared" si="47"/>
        <v>6.0839705065047491</v>
      </c>
      <c r="Z96">
        <v>44.5</v>
      </c>
    </row>
    <row r="97" spans="1:26" ht="15" customHeight="1" thickBot="1">
      <c r="A97">
        <v>45</v>
      </c>
      <c r="B97" t="s">
        <v>167</v>
      </c>
      <c r="C97">
        <v>0.02</v>
      </c>
      <c r="D97">
        <v>100</v>
      </c>
      <c r="E97" s="37">
        <f t="shared" si="32"/>
        <v>45.028571428571432</v>
      </c>
      <c r="F97">
        <v>30</v>
      </c>
      <c r="G97" s="71">
        <f t="shared" si="33"/>
        <v>1.4285714285714286</v>
      </c>
      <c r="H97" s="39">
        <f t="shared" si="34"/>
        <v>100</v>
      </c>
      <c r="I97">
        <v>100</v>
      </c>
      <c r="J97" s="71">
        <f t="shared" si="35"/>
        <v>2.8571428571428574E-2</v>
      </c>
      <c r="K97" s="71">
        <f t="shared" si="36"/>
        <v>45.057142857142857</v>
      </c>
      <c r="L97" s="72">
        <f t="shared" si="37"/>
        <v>35.256738817967417</v>
      </c>
      <c r="M97" s="73">
        <f t="shared" si="38"/>
        <v>0.70690648518242527</v>
      </c>
      <c r="N97" s="73">
        <f t="shared" si="39"/>
        <v>0.8165736748942829</v>
      </c>
      <c r="O97" s="74">
        <f t="shared" si="40"/>
        <v>18.342632510571704</v>
      </c>
      <c r="P97" s="75">
        <f t="shared" si="41"/>
        <v>1.2246292413595923</v>
      </c>
      <c r="Q97" s="37">
        <f t="shared" si="42"/>
        <v>2.4492584827191848E-2</v>
      </c>
      <c r="R97" s="43">
        <f t="shared" si="43"/>
        <v>45.048985169654387</v>
      </c>
      <c r="S97" s="76">
        <f t="shared" si="44"/>
        <v>0.57724122641201403</v>
      </c>
      <c r="T97">
        <v>238</v>
      </c>
      <c r="U97" s="44">
        <f t="shared" si="45"/>
        <v>412.30596345196619</v>
      </c>
      <c r="V97">
        <v>41.5</v>
      </c>
      <c r="W97" s="77">
        <f t="shared" si="46"/>
        <v>131.86464773790578</v>
      </c>
      <c r="X97">
        <v>1.44</v>
      </c>
      <c r="Y97" s="47">
        <f t="shared" si="47"/>
        <v>6.1063291911274495</v>
      </c>
      <c r="Z97">
        <v>45</v>
      </c>
    </row>
    <row r="98" spans="1:26" ht="15" customHeight="1" thickBot="1">
      <c r="A98">
        <v>45.5</v>
      </c>
      <c r="B98" t="s">
        <v>167</v>
      </c>
      <c r="C98">
        <v>0.02</v>
      </c>
      <c r="D98">
        <v>100</v>
      </c>
      <c r="E98" s="37">
        <f t="shared" si="32"/>
        <v>45.528571428571432</v>
      </c>
      <c r="F98">
        <v>30</v>
      </c>
      <c r="G98" s="71">
        <f t="shared" si="33"/>
        <v>1.4285714285714286</v>
      </c>
      <c r="H98" s="39">
        <f t="shared" si="34"/>
        <v>100</v>
      </c>
      <c r="I98">
        <v>100</v>
      </c>
      <c r="J98" s="71">
        <f t="shared" si="35"/>
        <v>2.8571428571428574E-2</v>
      </c>
      <c r="K98" s="71">
        <f t="shared" si="36"/>
        <v>45.557142857142857</v>
      </c>
      <c r="L98" s="72">
        <f t="shared" si="37"/>
        <v>34.959058879747829</v>
      </c>
      <c r="M98" s="73">
        <f t="shared" si="38"/>
        <v>0.69914315697991969</v>
      </c>
      <c r="N98" s="73">
        <f t="shared" si="39"/>
        <v>0.81956169434866799</v>
      </c>
      <c r="O98" s="74">
        <f t="shared" si="40"/>
        <v>18.043830565133206</v>
      </c>
      <c r="P98" s="75">
        <f t="shared" si="41"/>
        <v>1.2201643962810294</v>
      </c>
      <c r="Q98" s="37">
        <f t="shared" si="42"/>
        <v>2.4403287925620586E-2</v>
      </c>
      <c r="R98" s="43">
        <f t="shared" si="43"/>
        <v>45.548806575851238</v>
      </c>
      <c r="S98" s="76">
        <f t="shared" si="44"/>
        <v>0.57299095032673986</v>
      </c>
      <c r="T98">
        <v>239</v>
      </c>
      <c r="U98" s="44">
        <f t="shared" si="45"/>
        <v>417.1095544593046</v>
      </c>
      <c r="V98">
        <v>41.5</v>
      </c>
      <c r="W98" s="77">
        <f t="shared" si="46"/>
        <v>132.32765306493621</v>
      </c>
      <c r="X98">
        <v>1.44</v>
      </c>
      <c r="Y98" s="47">
        <f t="shared" si="47"/>
        <v>6.1291901440749212</v>
      </c>
      <c r="Z98">
        <v>45.5</v>
      </c>
    </row>
    <row r="99" spans="1:26" ht="15" customHeight="1" thickBot="1">
      <c r="A99">
        <v>46</v>
      </c>
      <c r="B99" t="s">
        <v>167</v>
      </c>
      <c r="C99">
        <v>0.02</v>
      </c>
      <c r="D99">
        <v>100</v>
      </c>
      <c r="E99" s="37">
        <f t="shared" si="32"/>
        <v>46.028571428571432</v>
      </c>
      <c r="F99">
        <v>30</v>
      </c>
      <c r="G99" s="71">
        <f t="shared" si="33"/>
        <v>1.4285714285714286</v>
      </c>
      <c r="H99" s="39">
        <f t="shared" si="34"/>
        <v>100.00000000000001</v>
      </c>
      <c r="I99">
        <v>100</v>
      </c>
      <c r="J99" s="71">
        <f t="shared" si="35"/>
        <v>2.8571428571428574E-2</v>
      </c>
      <c r="K99" s="71">
        <f t="shared" si="36"/>
        <v>46.057142857142857</v>
      </c>
      <c r="L99" s="72">
        <f t="shared" si="37"/>
        <v>34.665738368376097</v>
      </c>
      <c r="M99" s="73">
        <f t="shared" si="38"/>
        <v>0.69154849202203728</v>
      </c>
      <c r="N99" s="73">
        <f t="shared" si="39"/>
        <v>0.82248431668009259</v>
      </c>
      <c r="O99" s="74">
        <f t="shared" si="40"/>
        <v>17.75156833199074</v>
      </c>
      <c r="P99" s="75">
        <f t="shared" si="41"/>
        <v>1.2158286543826617</v>
      </c>
      <c r="Q99" s="37">
        <f t="shared" si="42"/>
        <v>2.4316573087653236E-2</v>
      </c>
      <c r="R99" s="43">
        <f t="shared" si="43"/>
        <v>46.048633146175305</v>
      </c>
      <c r="S99" s="76">
        <f t="shared" si="44"/>
        <v>0.56878778891189385</v>
      </c>
      <c r="T99">
        <v>240</v>
      </c>
      <c r="U99" s="44">
        <f t="shared" si="45"/>
        <v>421.94998675890417</v>
      </c>
      <c r="V99">
        <v>41.5</v>
      </c>
      <c r="W99" s="77">
        <f t="shared" si="46"/>
        <v>132.79257646467289</v>
      </c>
      <c r="X99">
        <v>1.44</v>
      </c>
      <c r="Y99" s="47">
        <f t="shared" si="47"/>
        <v>6.152536986173712</v>
      </c>
      <c r="Z99">
        <v>46</v>
      </c>
    </row>
    <row r="100" spans="1:26" ht="15" customHeight="1" thickBot="1">
      <c r="A100">
        <v>46.5</v>
      </c>
      <c r="B100" t="s">
        <v>167</v>
      </c>
      <c r="C100">
        <v>0.02</v>
      </c>
      <c r="D100">
        <v>100</v>
      </c>
      <c r="E100" s="37">
        <f t="shared" si="32"/>
        <v>46.528571428571432</v>
      </c>
      <c r="F100">
        <v>30</v>
      </c>
      <c r="G100" s="71">
        <f t="shared" si="33"/>
        <v>1.4285714285714286</v>
      </c>
      <c r="H100" s="39">
        <f t="shared" si="34"/>
        <v>100</v>
      </c>
      <c r="I100">
        <v>100</v>
      </c>
      <c r="J100" s="71">
        <f t="shared" si="35"/>
        <v>2.8571428571428574E-2</v>
      </c>
      <c r="K100" s="71">
        <f t="shared" si="36"/>
        <v>46.557142857142857</v>
      </c>
      <c r="L100" s="72">
        <f t="shared" si="37"/>
        <v>34.376697258442114</v>
      </c>
      <c r="M100" s="73">
        <f t="shared" si="38"/>
        <v>0.68411705289990921</v>
      </c>
      <c r="N100" s="73">
        <f t="shared" si="39"/>
        <v>0.8253432132928229</v>
      </c>
      <c r="O100" s="74">
        <f t="shared" si="40"/>
        <v>17.465678670717708</v>
      </c>
      <c r="P100" s="75">
        <f t="shared" si="41"/>
        <v>1.2116171598605134</v>
      </c>
      <c r="Q100" s="37">
        <f t="shared" si="42"/>
        <v>2.4232343197210269E-2</v>
      </c>
      <c r="R100" s="43">
        <f t="shared" si="43"/>
        <v>46.548464686394418</v>
      </c>
      <c r="S100" s="76">
        <f t="shared" si="44"/>
        <v>0.56463136670882708</v>
      </c>
      <c r="T100">
        <v>241</v>
      </c>
      <c r="U100" s="44">
        <f t="shared" si="45"/>
        <v>426.82715521945227</v>
      </c>
      <c r="V100">
        <v>41.5</v>
      </c>
      <c r="W100" s="77">
        <f t="shared" si="46"/>
        <v>133.25938781658368</v>
      </c>
      <c r="X100">
        <v>1.44</v>
      </c>
      <c r="Y100" s="47">
        <f t="shared" si="47"/>
        <v>6.1763540429454524</v>
      </c>
      <c r="Z100">
        <v>46.5</v>
      </c>
    </row>
    <row r="101" spans="1:26" ht="15" customHeight="1" thickBot="1">
      <c r="A101">
        <v>47</v>
      </c>
      <c r="B101" t="s">
        <v>167</v>
      </c>
      <c r="C101">
        <v>0.02</v>
      </c>
      <c r="D101">
        <v>100</v>
      </c>
      <c r="E101" s="37">
        <f t="shared" si="32"/>
        <v>47.028571428571432</v>
      </c>
      <c r="F101">
        <v>30</v>
      </c>
      <c r="G101" s="71">
        <f t="shared" si="33"/>
        <v>1.4285714285714286</v>
      </c>
      <c r="H101" s="39">
        <f t="shared" si="34"/>
        <v>100</v>
      </c>
      <c r="I101">
        <v>100</v>
      </c>
      <c r="J101" s="71">
        <f t="shared" si="35"/>
        <v>2.8571428571428574E-2</v>
      </c>
      <c r="K101" s="71">
        <f t="shared" si="36"/>
        <v>47.057142857142857</v>
      </c>
      <c r="L101" s="72">
        <f t="shared" si="37"/>
        <v>34.091856971096732</v>
      </c>
      <c r="M101" s="73">
        <f t="shared" si="38"/>
        <v>0.67684363344319687</v>
      </c>
      <c r="N101" s="73">
        <f t="shared" si="39"/>
        <v>0.82814001145676808</v>
      </c>
      <c r="O101" s="74">
        <f t="shared" si="40"/>
        <v>17.185998854323188</v>
      </c>
      <c r="P101" s="75">
        <f t="shared" si="41"/>
        <v>1.2075252809496737</v>
      </c>
      <c r="Q101" s="37">
        <f t="shared" si="42"/>
        <v>2.4150505618993474E-2</v>
      </c>
      <c r="R101" s="43">
        <f t="shared" si="43"/>
        <v>47.048301011237989</v>
      </c>
      <c r="S101" s="76">
        <f t="shared" si="44"/>
        <v>0.56052129435408959</v>
      </c>
      <c r="T101">
        <v>242</v>
      </c>
      <c r="U101" s="44">
        <f t="shared" si="45"/>
        <v>431.7409569227267</v>
      </c>
      <c r="V101">
        <v>41.5</v>
      </c>
      <c r="W101" s="77">
        <f t="shared" si="46"/>
        <v>133.7280575506017</v>
      </c>
      <c r="X101">
        <v>1.44</v>
      </c>
      <c r="Y101" s="47">
        <f t="shared" si="47"/>
        <v>6.200626307101853</v>
      </c>
      <c r="Z101">
        <v>47</v>
      </c>
    </row>
    <row r="102" spans="1:26" ht="15" customHeight="1" thickBot="1">
      <c r="A102">
        <v>47.5</v>
      </c>
      <c r="B102" t="s">
        <v>167</v>
      </c>
      <c r="C102">
        <v>0.02</v>
      </c>
      <c r="D102">
        <v>100</v>
      </c>
      <c r="E102" s="37">
        <f t="shared" si="32"/>
        <v>47.528571428571432</v>
      </c>
      <c r="F102">
        <v>30</v>
      </c>
      <c r="G102" s="71">
        <f t="shared" si="33"/>
        <v>1.4285714285714286</v>
      </c>
      <c r="H102" s="39">
        <f t="shared" si="34"/>
        <v>100</v>
      </c>
      <c r="I102">
        <v>100</v>
      </c>
      <c r="J102" s="71">
        <f t="shared" si="35"/>
        <v>2.8571428571428574E-2</v>
      </c>
      <c r="K102" s="71">
        <f t="shared" si="36"/>
        <v>47.557142857142857</v>
      </c>
      <c r="L102" s="72">
        <f t="shared" si="37"/>
        <v>33.811140364190273</v>
      </c>
      <c r="M102" s="73">
        <f t="shared" si="38"/>
        <v>0.66972324655695947</v>
      </c>
      <c r="N102" s="73">
        <f t="shared" si="39"/>
        <v>0.83087629525486917</v>
      </c>
      <c r="O102" s="74">
        <f t="shared" si="40"/>
        <v>16.912370474513082</v>
      </c>
      <c r="P102" s="75">
        <f t="shared" si="41"/>
        <v>1.2035485976805398</v>
      </c>
      <c r="Q102" s="37">
        <f t="shared" si="42"/>
        <v>2.4070971953610798E-2</v>
      </c>
      <c r="R102" s="43">
        <f t="shared" si="43"/>
        <v>47.548141943907218</v>
      </c>
      <c r="S102" s="76">
        <f t="shared" si="44"/>
        <v>0.5564571699453098</v>
      </c>
      <c r="T102">
        <v>243</v>
      </c>
      <c r="U102" s="44">
        <f t="shared" si="45"/>
        <v>436.69129112647204</v>
      </c>
      <c r="V102">
        <v>41.5</v>
      </c>
      <c r="W102" s="77">
        <f t="shared" si="46"/>
        <v>134.19855663815707</v>
      </c>
      <c r="X102">
        <v>1.44</v>
      </c>
      <c r="Y102" s="47">
        <f t="shared" si="47"/>
        <v>6.2253394034104055</v>
      </c>
      <c r="Z102">
        <v>47.5</v>
      </c>
    </row>
    <row r="103" spans="1:26" ht="15" customHeight="1" thickBot="1">
      <c r="A103">
        <v>48</v>
      </c>
      <c r="B103" t="s">
        <v>167</v>
      </c>
      <c r="C103">
        <v>0.02</v>
      </c>
      <c r="D103">
        <v>100</v>
      </c>
      <c r="E103" s="37">
        <f t="shared" si="32"/>
        <v>48.028571428571432</v>
      </c>
      <c r="F103">
        <v>30</v>
      </c>
      <c r="G103" s="71">
        <f t="shared" si="33"/>
        <v>1.4285714285714286</v>
      </c>
      <c r="H103" s="39">
        <f t="shared" si="34"/>
        <v>100</v>
      </c>
      <c r="I103">
        <v>100</v>
      </c>
      <c r="J103" s="71">
        <f t="shared" si="35"/>
        <v>2.8571428571428574E-2</v>
      </c>
      <c r="K103" s="71">
        <f t="shared" si="36"/>
        <v>48.057142857142857</v>
      </c>
      <c r="L103" s="72">
        <f t="shared" si="37"/>
        <v>33.534471720927613</v>
      </c>
      <c r="M103" s="73">
        <f t="shared" si="38"/>
        <v>0.66275111281826415</v>
      </c>
      <c r="N103" s="73">
        <f t="shared" si="39"/>
        <v>0.83355360653552946</v>
      </c>
      <c r="O103" s="74">
        <f t="shared" si="40"/>
        <v>16.64463934644705</v>
      </c>
      <c r="P103" s="75">
        <f t="shared" si="41"/>
        <v>1.1996828904097314</v>
      </c>
      <c r="Q103" s="37">
        <f t="shared" si="42"/>
        <v>2.3993657808194627E-2</v>
      </c>
      <c r="R103" s="43">
        <f t="shared" si="43"/>
        <v>48.047987315616389</v>
      </c>
      <c r="S103" s="76">
        <f t="shared" si="44"/>
        <v>0.55243858032509974</v>
      </c>
      <c r="T103">
        <v>244</v>
      </c>
      <c r="U103" s="44">
        <f t="shared" si="45"/>
        <v>441.67805922680236</v>
      </c>
      <c r="V103">
        <v>41.5</v>
      </c>
      <c r="W103" s="77">
        <f t="shared" si="46"/>
        <v>134.67085658317507</v>
      </c>
      <c r="X103">
        <v>1.44</v>
      </c>
      <c r="Y103" s="47">
        <f t="shared" si="47"/>
        <v>6.2504795557577122</v>
      </c>
      <c r="Z103">
        <v>48</v>
      </c>
    </row>
    <row r="104" spans="1:26" ht="15" customHeight="1" thickBot="1">
      <c r="A104">
        <v>48.5</v>
      </c>
      <c r="B104" t="s">
        <v>167</v>
      </c>
      <c r="C104">
        <v>0.02</v>
      </c>
      <c r="D104">
        <v>100</v>
      </c>
      <c r="E104" s="37">
        <f t="shared" si="32"/>
        <v>48.528571428571432</v>
      </c>
      <c r="F104">
        <v>30</v>
      </c>
      <c r="G104" s="71">
        <f t="shared" si="33"/>
        <v>1.4285714285714286</v>
      </c>
      <c r="H104" s="39">
        <f t="shared" si="34"/>
        <v>100.00000000000001</v>
      </c>
      <c r="I104">
        <v>100</v>
      </c>
      <c r="J104" s="71">
        <f t="shared" si="35"/>
        <v>2.8571428571428574E-2</v>
      </c>
      <c r="K104" s="71">
        <f t="shared" si="36"/>
        <v>48.557142857142857</v>
      </c>
      <c r="L104" s="72">
        <f t="shared" si="37"/>
        <v>33.26177673718972</v>
      </c>
      <c r="M104" s="73">
        <f t="shared" si="38"/>
        <v>0.65592264977774639</v>
      </c>
      <c r="N104" s="73">
        <f t="shared" si="39"/>
        <v>0.83617344586715003</v>
      </c>
      <c r="O104" s="74">
        <f t="shared" si="40"/>
        <v>16.382655413284994</v>
      </c>
      <c r="P104" s="75">
        <f t="shared" si="41"/>
        <v>1.1959241290698419</v>
      </c>
      <c r="Q104" s="37">
        <f t="shared" si="42"/>
        <v>2.3918482581396838E-2</v>
      </c>
      <c r="R104" s="43">
        <f t="shared" si="43"/>
        <v>48.547836965162794</v>
      </c>
      <c r="S104" s="76">
        <f t="shared" si="44"/>
        <v>0.54846510228696987</v>
      </c>
      <c r="T104">
        <v>245</v>
      </c>
      <c r="U104" s="44">
        <f t="shared" si="45"/>
        <v>446.7011647202491</v>
      </c>
      <c r="V104">
        <v>41.5</v>
      </c>
      <c r="W104" s="77">
        <f t="shared" si="46"/>
        <v>135.14492941305903</v>
      </c>
      <c r="X104">
        <v>1.44</v>
      </c>
      <c r="Y104" s="47">
        <f t="shared" si="47"/>
        <v>6.2760335562517504</v>
      </c>
      <c r="Z104">
        <v>48.5</v>
      </c>
    </row>
    <row r="105" spans="1:26" ht="15" customHeight="1" thickBot="1">
      <c r="A105">
        <v>49</v>
      </c>
      <c r="B105" t="s">
        <v>167</v>
      </c>
      <c r="C105">
        <v>0.02</v>
      </c>
      <c r="D105">
        <v>100</v>
      </c>
      <c r="E105" s="37">
        <f t="shared" ref="E105:E136" si="48">A105+J105</f>
        <v>49.028571428571432</v>
      </c>
      <c r="F105">
        <v>30</v>
      </c>
      <c r="G105" s="71">
        <f t="shared" ref="G105:G136" si="49">100/(100-F105)</f>
        <v>1.4285714285714286</v>
      </c>
      <c r="H105" s="39">
        <f t="shared" ref="H105:H136" si="50">3.1415926*E105*M105</f>
        <v>100</v>
      </c>
      <c r="I105">
        <v>100</v>
      </c>
      <c r="J105" s="71">
        <f t="shared" ref="J105:J136" si="51">G105*C105</f>
        <v>2.8571428571428574E-2</v>
      </c>
      <c r="K105" s="71">
        <f t="shared" ref="K105:K136" si="52">A105+2*J105</f>
        <v>49.057142857142857</v>
      </c>
      <c r="L105" s="72">
        <f t="shared" ref="L105:L136" si="53">ATAN(I105/(3.1415926*(A105+J105)))*180/3.1415926</f>
        <v>32.992982507661218</v>
      </c>
      <c r="M105" s="73">
        <f t="shared" ref="M105:M136" si="54">I105/(3.1415926*(A105+J105))</f>
        <v>0.64923346191579379</v>
      </c>
      <c r="N105" s="73">
        <f t="shared" ref="N105:N136" si="55">COS(L105*3.1415926/180)</f>
        <v>0.83873727349212435</v>
      </c>
      <c r="O105" s="74">
        <f t="shared" ref="O105:O136" si="56">(D105-I105*N105)/D105*100</f>
        <v>16.12627265078757</v>
      </c>
      <c r="P105" s="75">
        <f t="shared" ref="P105:P136" si="57">100/(100-O105)</f>
        <v>1.1922684630867189</v>
      </c>
      <c r="Q105" s="37">
        <f t="shared" ref="Q105:Q136" si="58">P105*C105</f>
        <v>2.3845369261734379E-2</v>
      </c>
      <c r="R105" s="43">
        <f t="shared" ref="R105:R136" si="59">A105+2*Q105</f>
        <v>49.047690738523471</v>
      </c>
      <c r="S105" s="76">
        <f t="shared" ref="S105:S136" si="60">SIN(L105*3.1415926/180)</f>
        <v>0.54453630370710582</v>
      </c>
      <c r="T105">
        <v>246</v>
      </c>
      <c r="U105" s="44">
        <f t="shared" ref="U105:U136" si="61">T105/S105</f>
        <v>451.76051316556118</v>
      </c>
      <c r="V105">
        <v>41.5</v>
      </c>
      <c r="W105" s="77">
        <f t="shared" ref="W105:W136" si="62">2*SQRT((1000*U105*C105/3.1415926)+(V105*V105))</f>
        <v>135.62074766967524</v>
      </c>
      <c r="X105">
        <v>1.44</v>
      </c>
      <c r="Y105" s="47">
        <f t="shared" ref="Y105:Y136" si="63">3.14*(A105+Q105)*Q105*X105*P105</f>
        <v>6.3019887362172087</v>
      </c>
      <c r="Z105">
        <v>49</v>
      </c>
    </row>
    <row r="106" spans="1:26" ht="15" customHeight="1" thickBot="1">
      <c r="A106">
        <v>49.5</v>
      </c>
      <c r="B106" t="s">
        <v>167</v>
      </c>
      <c r="C106">
        <v>0.02</v>
      </c>
      <c r="D106">
        <v>100</v>
      </c>
      <c r="E106" s="37">
        <f t="shared" si="48"/>
        <v>49.528571428571432</v>
      </c>
      <c r="F106">
        <v>30</v>
      </c>
      <c r="G106" s="71">
        <f t="shared" si="49"/>
        <v>1.4285714285714286</v>
      </c>
      <c r="H106" s="39">
        <f t="shared" si="50"/>
        <v>100</v>
      </c>
      <c r="I106">
        <v>100</v>
      </c>
      <c r="J106" s="71">
        <f t="shared" si="51"/>
        <v>2.8571428571428574E-2</v>
      </c>
      <c r="K106" s="71">
        <f t="shared" si="52"/>
        <v>49.557142857142857</v>
      </c>
      <c r="L106" s="72">
        <f t="shared" si="53"/>
        <v>32.728017510893579</v>
      </c>
      <c r="M106" s="73">
        <f t="shared" si="54"/>
        <v>0.64267933120709664</v>
      </c>
      <c r="N106" s="73">
        <f t="shared" si="55"/>
        <v>0.84124651027792652</v>
      </c>
      <c r="O106" s="74">
        <f t="shared" si="56"/>
        <v>15.875348972207348</v>
      </c>
      <c r="P106" s="75">
        <f t="shared" si="57"/>
        <v>1.1887122119170817</v>
      </c>
      <c r="Q106" s="37">
        <f t="shared" si="58"/>
        <v>2.3774244238341635E-2</v>
      </c>
      <c r="R106" s="43">
        <f t="shared" si="59"/>
        <v>49.547548488476686</v>
      </c>
      <c r="S106" s="76">
        <f t="shared" si="60"/>
        <v>0.54065174460572174</v>
      </c>
      <c r="T106">
        <v>247</v>
      </c>
      <c r="U106" s="44">
        <f t="shared" si="61"/>
        <v>456.85601214535689</v>
      </c>
      <c r="V106">
        <v>41.5</v>
      </c>
      <c r="W106" s="77">
        <f t="shared" si="62"/>
        <v>136.09828440035454</v>
      </c>
      <c r="X106">
        <v>1.44</v>
      </c>
      <c r="Y106" s="47">
        <f t="shared" si="63"/>
        <v>6.3283329389499352</v>
      </c>
      <c r="Z106">
        <v>49.5</v>
      </c>
    </row>
    <row r="107" spans="1:26" ht="15" customHeight="1" thickBot="1">
      <c r="A107">
        <v>50</v>
      </c>
      <c r="B107" t="s">
        <v>167</v>
      </c>
      <c r="C107">
        <v>0.02</v>
      </c>
      <c r="D107">
        <v>100</v>
      </c>
      <c r="E107" s="37">
        <f t="shared" si="48"/>
        <v>50.028571428571432</v>
      </c>
      <c r="F107">
        <v>30</v>
      </c>
      <c r="G107" s="71">
        <f t="shared" si="49"/>
        <v>1.4285714285714286</v>
      </c>
      <c r="H107" s="39">
        <f t="shared" si="50"/>
        <v>100</v>
      </c>
      <c r="I107">
        <v>100</v>
      </c>
      <c r="J107" s="71">
        <f t="shared" si="51"/>
        <v>2.8571428571428574E-2</v>
      </c>
      <c r="K107" s="71">
        <f t="shared" si="52"/>
        <v>50.057142857142857</v>
      </c>
      <c r="L107" s="72">
        <f t="shared" si="53"/>
        <v>32.466811593424531</v>
      </c>
      <c r="M107" s="73">
        <f t="shared" si="54"/>
        <v>0.6362562082510006</v>
      </c>
      <c r="N107" s="73">
        <f t="shared" si="55"/>
        <v>0.84370253866317468</v>
      </c>
      <c r="O107" s="74">
        <f t="shared" si="56"/>
        <v>15.629746133682531</v>
      </c>
      <c r="P107" s="75">
        <f t="shared" si="57"/>
        <v>1.1852518561630438</v>
      </c>
      <c r="Q107" s="37">
        <f t="shared" si="58"/>
        <v>2.3705037123260879E-2</v>
      </c>
      <c r="R107" s="43">
        <f t="shared" si="59"/>
        <v>50.047410074246521</v>
      </c>
      <c r="S107" s="76">
        <f t="shared" si="60"/>
        <v>0.53681097814157475</v>
      </c>
      <c r="T107">
        <v>248</v>
      </c>
      <c r="U107" s="44">
        <f t="shared" si="61"/>
        <v>461.9875712277148</v>
      </c>
      <c r="V107">
        <v>41.5</v>
      </c>
      <c r="W107" s="77">
        <f t="shared" si="62"/>
        <v>136.57751314892545</v>
      </c>
      <c r="X107">
        <v>1.44</v>
      </c>
      <c r="Y107" s="47">
        <f t="shared" si="63"/>
        <v>6.3550544941072982</v>
      </c>
      <c r="Z107">
        <v>50</v>
      </c>
    </row>
    <row r="108" spans="1:26" ht="15" customHeight="1" thickBot="1">
      <c r="A108">
        <v>50.5</v>
      </c>
      <c r="B108" t="s">
        <v>167</v>
      </c>
      <c r="C108">
        <v>0.02</v>
      </c>
      <c r="D108">
        <v>100</v>
      </c>
      <c r="E108" s="37">
        <f t="shared" si="48"/>
        <v>50.528571428571432</v>
      </c>
      <c r="F108">
        <v>30</v>
      </c>
      <c r="G108" s="71">
        <f t="shared" si="49"/>
        <v>1.4285714285714286</v>
      </c>
      <c r="H108" s="39">
        <f t="shared" si="50"/>
        <v>100</v>
      </c>
      <c r="I108">
        <v>100</v>
      </c>
      <c r="J108" s="71">
        <f t="shared" si="51"/>
        <v>2.8571428571428574E-2</v>
      </c>
      <c r="K108" s="71">
        <f t="shared" si="52"/>
        <v>50.557142857142857</v>
      </c>
      <c r="L108" s="72">
        <f t="shared" si="53"/>
        <v>32.209295953065073</v>
      </c>
      <c r="M108" s="73">
        <f t="shared" si="54"/>
        <v>0.62996020392847163</v>
      </c>
      <c r="N108" s="73">
        <f t="shared" si="55"/>
        <v>0.8461067035967923</v>
      </c>
      <c r="O108" s="74">
        <f t="shared" si="56"/>
        <v>15.389329640320767</v>
      </c>
      <c r="P108" s="75">
        <f t="shared" si="57"/>
        <v>1.1818840292235111</v>
      </c>
      <c r="Q108" s="37">
        <f t="shared" si="58"/>
        <v>2.3637680584470223E-2</v>
      </c>
      <c r="R108" s="43">
        <f t="shared" si="59"/>
        <v>50.547275361168943</v>
      </c>
      <c r="S108" s="76">
        <f t="shared" si="60"/>
        <v>0.53301355154308205</v>
      </c>
      <c r="T108">
        <v>249</v>
      </c>
      <c r="U108" s="44">
        <f t="shared" si="61"/>
        <v>467.15510192778652</v>
      </c>
      <c r="V108">
        <v>41.5</v>
      </c>
      <c r="W108" s="77">
        <f t="shared" si="62"/>
        <v>137.05840794679062</v>
      </c>
      <c r="X108">
        <v>1.44</v>
      </c>
      <c r="Y108" s="47">
        <f t="shared" si="63"/>
        <v>6.3821421936208473</v>
      </c>
      <c r="Z108">
        <v>50.5</v>
      </c>
    </row>
    <row r="109" spans="1:26" ht="15" customHeight="1" thickBot="1">
      <c r="A109">
        <v>51</v>
      </c>
      <c r="B109" t="s">
        <v>167</v>
      </c>
      <c r="C109">
        <v>0.02</v>
      </c>
      <c r="D109">
        <v>100</v>
      </c>
      <c r="E109" s="37">
        <f t="shared" si="48"/>
        <v>51.028571428571432</v>
      </c>
      <c r="F109">
        <v>30</v>
      </c>
      <c r="G109" s="71">
        <f t="shared" si="49"/>
        <v>1.4285714285714286</v>
      </c>
      <c r="H109" s="39">
        <f t="shared" si="50"/>
        <v>100</v>
      </c>
      <c r="I109">
        <v>100</v>
      </c>
      <c r="J109" s="71">
        <f t="shared" si="51"/>
        <v>2.8571428571428574E-2</v>
      </c>
      <c r="K109" s="71">
        <f t="shared" si="52"/>
        <v>51.057142857142857</v>
      </c>
      <c r="L109" s="72">
        <f t="shared" si="53"/>
        <v>31.955403121457753</v>
      </c>
      <c r="M109" s="73">
        <f t="shared" si="54"/>
        <v>0.62378758154955327</v>
      </c>
      <c r="N109" s="73">
        <f t="shared" si="55"/>
        <v>0.84846031346859718</v>
      </c>
      <c r="O109" s="74">
        <f t="shared" si="56"/>
        <v>15.153968653140282</v>
      </c>
      <c r="P109" s="75">
        <f t="shared" si="57"/>
        <v>1.1786055094455652</v>
      </c>
      <c r="Q109" s="37">
        <f t="shared" si="58"/>
        <v>2.3572110188911304E-2</v>
      </c>
      <c r="R109" s="43">
        <f t="shared" si="59"/>
        <v>51.047144220377824</v>
      </c>
      <c r="S109" s="76">
        <f t="shared" si="60"/>
        <v>0.52925900697935202</v>
      </c>
      <c r="T109">
        <v>250</v>
      </c>
      <c r="U109" s="44">
        <f t="shared" si="61"/>
        <v>472.35851766950327</v>
      </c>
      <c r="V109">
        <v>41.5</v>
      </c>
      <c r="W109" s="77">
        <f t="shared" si="62"/>
        <v>137.54094330405826</v>
      </c>
      <c r="X109">
        <v>1.44</v>
      </c>
      <c r="Y109" s="47">
        <f t="shared" si="63"/>
        <v>6.4095852690268709</v>
      </c>
      <c r="Z109">
        <v>51</v>
      </c>
    </row>
    <row r="110" spans="1:26" ht="15" customHeight="1" thickBot="1">
      <c r="A110">
        <v>51.5</v>
      </c>
      <c r="B110" t="s">
        <v>167</v>
      </c>
      <c r="C110">
        <v>0.02</v>
      </c>
      <c r="D110">
        <v>100</v>
      </c>
      <c r="E110" s="37">
        <f t="shared" si="48"/>
        <v>51.528571428571432</v>
      </c>
      <c r="F110">
        <v>30</v>
      </c>
      <c r="G110" s="71">
        <f t="shared" si="49"/>
        <v>1.4285714285714286</v>
      </c>
      <c r="H110" s="39">
        <f t="shared" si="50"/>
        <v>100</v>
      </c>
      <c r="I110">
        <v>100</v>
      </c>
      <c r="J110" s="71">
        <f t="shared" si="51"/>
        <v>2.8571428571428574E-2</v>
      </c>
      <c r="K110" s="71">
        <f t="shared" si="52"/>
        <v>51.557142857142857</v>
      </c>
      <c r="L110" s="72">
        <f t="shared" si="53"/>
        <v>31.705066946001683</v>
      </c>
      <c r="M110" s="73">
        <f t="shared" si="54"/>
        <v>0.61773474945799944</v>
      </c>
      <c r="N110" s="73">
        <f t="shared" si="55"/>
        <v>0.85076464102985216</v>
      </c>
      <c r="O110" s="74">
        <f t="shared" si="56"/>
        <v>14.923535897014787</v>
      </c>
      <c r="P110" s="75">
        <f t="shared" si="57"/>
        <v>1.1754132127417733</v>
      </c>
      <c r="Q110" s="37">
        <f t="shared" si="58"/>
        <v>2.3508264254835466E-2</v>
      </c>
      <c r="R110" s="43">
        <f t="shared" si="59"/>
        <v>51.547016528509673</v>
      </c>
      <c r="S110" s="76">
        <f t="shared" si="60"/>
        <v>0.52554688237430047</v>
      </c>
      <c r="T110">
        <v>251</v>
      </c>
      <c r="U110" s="44">
        <f t="shared" si="61"/>
        <v>477.59773374744321</v>
      </c>
      <c r="V110">
        <v>41.5</v>
      </c>
      <c r="W110" s="77">
        <f t="shared" si="62"/>
        <v>138.02509420073912</v>
      </c>
      <c r="X110">
        <v>1.44</v>
      </c>
      <c r="Y110" s="47">
        <f t="shared" si="63"/>
        <v>6.4373733701182507</v>
      </c>
      <c r="Z110">
        <v>51.5</v>
      </c>
    </row>
    <row r="111" spans="1:26" ht="15" customHeight="1" thickBot="1">
      <c r="A111">
        <v>52</v>
      </c>
      <c r="B111" t="s">
        <v>167</v>
      </c>
      <c r="C111">
        <v>0.02</v>
      </c>
      <c r="D111">
        <v>100</v>
      </c>
      <c r="E111" s="37">
        <f t="shared" si="48"/>
        <v>52.028571428571432</v>
      </c>
      <c r="F111">
        <v>30</v>
      </c>
      <c r="G111" s="71">
        <f t="shared" si="49"/>
        <v>1.4285714285714286</v>
      </c>
      <c r="H111" s="39">
        <f t="shared" si="50"/>
        <v>100</v>
      </c>
      <c r="I111">
        <v>100</v>
      </c>
      <c r="J111" s="71">
        <f t="shared" si="51"/>
        <v>2.8571428571428574E-2</v>
      </c>
      <c r="K111" s="71">
        <f t="shared" si="52"/>
        <v>52.057142857142857</v>
      </c>
      <c r="L111" s="72">
        <f t="shared" si="53"/>
        <v>31.458222571232877</v>
      </c>
      <c r="M111" s="73">
        <f t="shared" si="54"/>
        <v>0.61179825406232946</v>
      </c>
      <c r="N111" s="73">
        <f t="shared" si="55"/>
        <v>0.85302092430248766</v>
      </c>
      <c r="O111" s="74">
        <f t="shared" si="56"/>
        <v>14.697907569751237</v>
      </c>
      <c r="P111" s="75">
        <f t="shared" si="57"/>
        <v>1.1723041856419838</v>
      </c>
      <c r="Q111" s="37">
        <f t="shared" si="58"/>
        <v>2.3446083712839676E-2</v>
      </c>
      <c r="R111" s="43">
        <f t="shared" si="59"/>
        <v>52.046892167425682</v>
      </c>
      <c r="S111" s="76">
        <f t="shared" si="60"/>
        <v>0.52187671216689646</v>
      </c>
      <c r="T111">
        <v>252</v>
      </c>
      <c r="U111" s="44">
        <f t="shared" si="61"/>
        <v>482.87266728891757</v>
      </c>
      <c r="V111">
        <v>41.5</v>
      </c>
      <c r="W111" s="77">
        <f t="shared" si="62"/>
        <v>138.51083607801718</v>
      </c>
      <c r="X111">
        <v>1.44</v>
      </c>
      <c r="Y111" s="47">
        <f t="shared" si="63"/>
        <v>6.4654965448287207</v>
      </c>
      <c r="Z111">
        <v>52</v>
      </c>
    </row>
    <row r="112" spans="1:26" ht="15" customHeight="1" thickBot="1">
      <c r="A112">
        <v>52.5</v>
      </c>
      <c r="B112" t="s">
        <v>167</v>
      </c>
      <c r="C112">
        <v>0.02</v>
      </c>
      <c r="D112">
        <v>100</v>
      </c>
      <c r="E112" s="37">
        <f t="shared" si="48"/>
        <v>52.528571428571432</v>
      </c>
      <c r="F112">
        <v>30</v>
      </c>
      <c r="G112" s="71">
        <f t="shared" si="49"/>
        <v>1.4285714285714286</v>
      </c>
      <c r="H112" s="39">
        <f t="shared" si="50"/>
        <v>100</v>
      </c>
      <c r="I112">
        <v>100</v>
      </c>
      <c r="J112" s="71">
        <f t="shared" si="51"/>
        <v>2.8571428571428574E-2</v>
      </c>
      <c r="K112" s="71">
        <f t="shared" si="52"/>
        <v>52.557142857142857</v>
      </c>
      <c r="L112" s="72">
        <f t="shared" si="53"/>
        <v>31.214806419741333</v>
      </c>
      <c r="M112" s="73">
        <f t="shared" si="54"/>
        <v>0.60597477326489102</v>
      </c>
      <c r="N112" s="73">
        <f t="shared" si="55"/>
        <v>0.85523036747587589</v>
      </c>
      <c r="O112" s="74">
        <f t="shared" si="56"/>
        <v>14.476963252412418</v>
      </c>
      <c r="P112" s="75">
        <f t="shared" si="57"/>
        <v>1.1692755987505412</v>
      </c>
      <c r="Q112" s="37">
        <f t="shared" si="58"/>
        <v>2.3385511975010823E-2</v>
      </c>
      <c r="R112" s="43">
        <f t="shared" si="59"/>
        <v>52.546771023950022</v>
      </c>
      <c r="S112" s="76">
        <f t="shared" si="60"/>
        <v>0.51824802802044334</v>
      </c>
      <c r="T112">
        <v>253</v>
      </c>
      <c r="U112" s="44">
        <f t="shared" si="61"/>
        <v>488.18323721633129</v>
      </c>
      <c r="V112">
        <v>41.5</v>
      </c>
      <c r="W112" s="77">
        <f t="shared" si="62"/>
        <v>138.99814482960358</v>
      </c>
      <c r="X112">
        <v>1.44</v>
      </c>
      <c r="Y112" s="47">
        <f t="shared" si="63"/>
        <v>6.4939452202672276</v>
      </c>
      <c r="Z112">
        <v>52.5</v>
      </c>
    </row>
    <row r="113" spans="1:26" ht="15" customHeight="1" thickBot="1">
      <c r="A113">
        <v>53</v>
      </c>
      <c r="B113" t="s">
        <v>167</v>
      </c>
      <c r="C113">
        <v>0.02</v>
      </c>
      <c r="D113">
        <v>100</v>
      </c>
      <c r="E113" s="37">
        <f t="shared" si="48"/>
        <v>53.028571428571432</v>
      </c>
      <c r="F113">
        <v>30</v>
      </c>
      <c r="G113" s="71">
        <f t="shared" si="49"/>
        <v>1.4285714285714286</v>
      </c>
      <c r="H113" s="39">
        <f t="shared" si="50"/>
        <v>100</v>
      </c>
      <c r="I113">
        <v>100</v>
      </c>
      <c r="J113" s="71">
        <f t="shared" si="51"/>
        <v>2.8571428571428574E-2</v>
      </c>
      <c r="K113" s="71">
        <f t="shared" si="52"/>
        <v>53.057142857142857</v>
      </c>
      <c r="L113" s="72">
        <f t="shared" si="53"/>
        <v>30.974756172700083</v>
      </c>
      <c r="M113" s="73">
        <f t="shared" si="54"/>
        <v>0.60026111026266271</v>
      </c>
      <c r="N113" s="73">
        <f t="shared" si="55"/>
        <v>0.85739414179018592</v>
      </c>
      <c r="O113" s="74">
        <f t="shared" si="56"/>
        <v>14.260585820981406</v>
      </c>
      <c r="P113" s="75">
        <f t="shared" si="57"/>
        <v>1.1663247405820407</v>
      </c>
      <c r="Q113" s="37">
        <f t="shared" si="58"/>
        <v>2.3326494811640813E-2</v>
      </c>
      <c r="R113" s="43">
        <f t="shared" si="59"/>
        <v>53.046652989623283</v>
      </c>
      <c r="S113" s="76">
        <f t="shared" si="60"/>
        <v>0.51466035948367983</v>
      </c>
      <c r="T113">
        <v>254</v>
      </c>
      <c r="U113" s="44">
        <f t="shared" si="61"/>
        <v>493.52936420986293</v>
      </c>
      <c r="V113">
        <v>41.5</v>
      </c>
      <c r="W113" s="77">
        <f t="shared" si="62"/>
        <v>139.48699679317971</v>
      </c>
      <c r="X113">
        <v>1.44</v>
      </c>
      <c r="Y113" s="47">
        <f t="shared" si="63"/>
        <v>6.5227101848264395</v>
      </c>
      <c r="Z113">
        <v>53</v>
      </c>
    </row>
    <row r="114" spans="1:26" ht="15" customHeight="1" thickBot="1">
      <c r="A114">
        <v>53.5</v>
      </c>
      <c r="B114" t="s">
        <v>167</v>
      </c>
      <c r="C114">
        <v>0.02</v>
      </c>
      <c r="D114">
        <v>100</v>
      </c>
      <c r="E114" s="37">
        <f t="shared" si="48"/>
        <v>53.528571428571432</v>
      </c>
      <c r="F114">
        <v>30</v>
      </c>
      <c r="G114" s="71">
        <f t="shared" si="49"/>
        <v>1.4285714285714286</v>
      </c>
      <c r="H114" s="39">
        <f t="shared" si="50"/>
        <v>100</v>
      </c>
      <c r="I114">
        <v>100</v>
      </c>
      <c r="J114" s="71">
        <f t="shared" si="51"/>
        <v>2.8571428571428574E-2</v>
      </c>
      <c r="K114" s="71">
        <f t="shared" si="52"/>
        <v>53.557142857142857</v>
      </c>
      <c r="L114" s="72">
        <f t="shared" si="53"/>
        <v>30.738010750075617</v>
      </c>
      <c r="M114" s="73">
        <f t="shared" si="54"/>
        <v>0.59465418769549083</v>
      </c>
      <c r="N114" s="73">
        <f t="shared" si="55"/>
        <v>0.85951338640548736</v>
      </c>
      <c r="O114" s="74">
        <f t="shared" si="56"/>
        <v>14.048661359451259</v>
      </c>
      <c r="P114" s="75">
        <f t="shared" si="57"/>
        <v>1.1634490117507443</v>
      </c>
      <c r="Q114" s="37">
        <f t="shared" si="58"/>
        <v>2.3268980235014888E-2</v>
      </c>
      <c r="R114" s="43">
        <f t="shared" si="59"/>
        <v>53.546537960470033</v>
      </c>
      <c r="S114" s="76">
        <f t="shared" si="60"/>
        <v>0.5111132346063556</v>
      </c>
      <c r="T114">
        <v>255</v>
      </c>
      <c r="U114" s="44">
        <f t="shared" si="61"/>
        <v>498.91097067050811</v>
      </c>
      <c r="V114">
        <v>41.5</v>
      </c>
      <c r="W114" s="77">
        <f t="shared" si="62"/>
        <v>139.97736874193671</v>
      </c>
      <c r="X114">
        <v>1.44</v>
      </c>
      <c r="Y114" s="47">
        <f t="shared" si="63"/>
        <v>6.5517825712950328</v>
      </c>
      <c r="Z114">
        <v>53.5</v>
      </c>
    </row>
    <row r="115" spans="1:26" ht="15" customHeight="1" thickBot="1">
      <c r="A115">
        <v>54</v>
      </c>
      <c r="B115" t="s">
        <v>167</v>
      </c>
      <c r="C115">
        <v>0.02</v>
      </c>
      <c r="D115">
        <v>100</v>
      </c>
      <c r="E115" s="37">
        <f t="shared" si="48"/>
        <v>54.028571428571432</v>
      </c>
      <c r="F115">
        <v>30</v>
      </c>
      <c r="G115" s="71">
        <f t="shared" si="49"/>
        <v>1.4285714285714286</v>
      </c>
      <c r="H115" s="39">
        <f t="shared" si="50"/>
        <v>100</v>
      </c>
      <c r="I115">
        <v>100</v>
      </c>
      <c r="J115" s="71">
        <f t="shared" si="51"/>
        <v>2.8571428571428574E-2</v>
      </c>
      <c r="K115" s="71">
        <f t="shared" si="52"/>
        <v>54.057142857142857</v>
      </c>
      <c r="L115" s="72">
        <f t="shared" si="53"/>
        <v>30.504510290582928</v>
      </c>
      <c r="M115" s="73">
        <f t="shared" si="54"/>
        <v>0.58915104211925018</v>
      </c>
      <c r="N115" s="73">
        <f t="shared" si="55"/>
        <v>0.86158920925590021</v>
      </c>
      <c r="O115" s="74">
        <f t="shared" si="56"/>
        <v>13.841079074409976</v>
      </c>
      <c r="P115" s="75">
        <f t="shared" si="57"/>
        <v>1.1606459194906078</v>
      </c>
      <c r="Q115" s="37">
        <f t="shared" si="58"/>
        <v>2.3212918389812157E-2</v>
      </c>
      <c r="R115" s="43">
        <f t="shared" si="59"/>
        <v>54.046425836779626</v>
      </c>
      <c r="S115" s="76">
        <f t="shared" si="60"/>
        <v>0.50760618051181428</v>
      </c>
      <c r="T115">
        <v>256</v>
      </c>
      <c r="U115" s="44">
        <f t="shared" si="61"/>
        <v>504.32798068352463</v>
      </c>
      <c r="V115">
        <v>41.5</v>
      </c>
      <c r="W115" s="77">
        <f t="shared" si="62"/>
        <v>140.46923787621668</v>
      </c>
      <c r="X115">
        <v>1.44</v>
      </c>
      <c r="Y115" s="47">
        <f t="shared" si="63"/>
        <v>6.5811538409086765</v>
      </c>
      <c r="Z115">
        <v>54</v>
      </c>
    </row>
    <row r="116" spans="1:26" ht="15" customHeight="1" thickBot="1">
      <c r="A116">
        <v>54.5</v>
      </c>
      <c r="B116" t="s">
        <v>167</v>
      </c>
      <c r="C116">
        <v>0.02</v>
      </c>
      <c r="D116">
        <v>100</v>
      </c>
      <c r="E116" s="37">
        <f t="shared" si="48"/>
        <v>54.528571428571432</v>
      </c>
      <c r="F116">
        <v>30</v>
      </c>
      <c r="G116" s="71">
        <f t="shared" si="49"/>
        <v>1.4285714285714286</v>
      </c>
      <c r="H116" s="39">
        <f t="shared" si="50"/>
        <v>100</v>
      </c>
      <c r="I116">
        <v>100</v>
      </c>
      <c r="J116" s="71">
        <f t="shared" si="51"/>
        <v>2.8571428571428574E-2</v>
      </c>
      <c r="K116" s="71">
        <f t="shared" si="52"/>
        <v>54.557142857142857</v>
      </c>
      <c r="L116" s="72">
        <f t="shared" si="53"/>
        <v>30.27419613144388</v>
      </c>
      <c r="M116" s="73">
        <f t="shared" si="54"/>
        <v>0.58374881878307683</v>
      </c>
      <c r="N116" s="73">
        <f t="shared" si="55"/>
        <v>0.86362268788819896</v>
      </c>
      <c r="O116" s="74">
        <f t="shared" si="56"/>
        <v>13.63773121118011</v>
      </c>
      <c r="P116" s="75">
        <f t="shared" si="57"/>
        <v>1.1579130724845617</v>
      </c>
      <c r="Q116" s="37">
        <f t="shared" si="58"/>
        <v>2.3158261449691235E-2</v>
      </c>
      <c r="R116" s="43">
        <f t="shared" si="59"/>
        <v>54.546316522899382</v>
      </c>
      <c r="S116" s="76">
        <f t="shared" si="60"/>
        <v>0.50413872392900194</v>
      </c>
      <c r="T116">
        <v>257</v>
      </c>
      <c r="U116" s="44">
        <f t="shared" si="61"/>
        <v>509.78031998230989</v>
      </c>
      <c r="V116">
        <v>41.5</v>
      </c>
      <c r="W116" s="77">
        <f t="shared" si="62"/>
        <v>140.96258181526079</v>
      </c>
      <c r="X116">
        <v>1.44</v>
      </c>
      <c r="Y116" s="47">
        <f t="shared" si="63"/>
        <v>6.6108157682793633</v>
      </c>
      <c r="Z116">
        <v>54.5</v>
      </c>
    </row>
    <row r="117" spans="1:26" ht="15" customHeight="1" thickBot="1">
      <c r="A117">
        <v>55</v>
      </c>
      <c r="B117" t="s">
        <v>167</v>
      </c>
      <c r="C117">
        <v>0.02</v>
      </c>
      <c r="D117">
        <v>100</v>
      </c>
      <c r="E117" s="37">
        <f t="shared" si="48"/>
        <v>55.028571428571432</v>
      </c>
      <c r="F117">
        <v>30</v>
      </c>
      <c r="G117" s="71">
        <f t="shared" si="49"/>
        <v>1.4285714285714286</v>
      </c>
      <c r="H117" s="39">
        <f t="shared" si="50"/>
        <v>100</v>
      </c>
      <c r="I117">
        <v>100</v>
      </c>
      <c r="J117" s="71">
        <f t="shared" si="51"/>
        <v>2.8571428571428574E-2</v>
      </c>
      <c r="K117" s="71">
        <f t="shared" si="52"/>
        <v>55.057142857142857</v>
      </c>
      <c r="L117" s="72">
        <f t="shared" si="53"/>
        <v>30.047010788002268</v>
      </c>
      <c r="M117" s="73">
        <f t="shared" si="54"/>
        <v>0.57844476669133027</v>
      </c>
      <c r="N117" s="73">
        <f t="shared" si="55"/>
        <v>0.865614870284386</v>
      </c>
      <c r="O117" s="74">
        <f t="shared" si="56"/>
        <v>13.438512971561394</v>
      </c>
      <c r="P117" s="75">
        <f t="shared" si="57"/>
        <v>1.1552481759832331</v>
      </c>
      <c r="Q117" s="37">
        <f t="shared" si="58"/>
        <v>2.3104963519664665E-2</v>
      </c>
      <c r="R117" s="43">
        <f t="shared" si="59"/>
        <v>55.046209927039328</v>
      </c>
      <c r="S117" s="76">
        <f t="shared" si="60"/>
        <v>0.5007103916861978</v>
      </c>
      <c r="T117">
        <v>258</v>
      </c>
      <c r="U117" s="44">
        <f t="shared" si="61"/>
        <v>515.2679159127423</v>
      </c>
      <c r="V117">
        <v>41.5</v>
      </c>
      <c r="W117" s="77">
        <f t="shared" si="62"/>
        <v>141.45737858906793</v>
      </c>
      <c r="X117">
        <v>1.44</v>
      </c>
      <c r="Y117" s="47">
        <f t="shared" si="63"/>
        <v>6.6407604271471863</v>
      </c>
      <c r="Z117">
        <v>55</v>
      </c>
    </row>
    <row r="118" spans="1:26" ht="15" customHeight="1" thickBot="1">
      <c r="A118">
        <v>55.5</v>
      </c>
      <c r="B118" t="s">
        <v>167</v>
      </c>
      <c r="C118">
        <v>0.02</v>
      </c>
      <c r="D118">
        <v>100</v>
      </c>
      <c r="E118" s="37">
        <f t="shared" si="48"/>
        <v>55.528571428571432</v>
      </c>
      <c r="F118">
        <v>30</v>
      </c>
      <c r="G118" s="71">
        <f t="shared" si="49"/>
        <v>1.4285714285714286</v>
      </c>
      <c r="H118" s="39">
        <f t="shared" si="50"/>
        <v>100</v>
      </c>
      <c r="I118">
        <v>100</v>
      </c>
      <c r="J118" s="71">
        <f t="shared" si="51"/>
        <v>2.8571428571428574E-2</v>
      </c>
      <c r="K118" s="71">
        <f t="shared" si="52"/>
        <v>55.557142857142857</v>
      </c>
      <c r="L118" s="72">
        <f t="shared" si="53"/>
        <v>29.822897933244473</v>
      </c>
      <c r="M118" s="73">
        <f t="shared" si="54"/>
        <v>0.57323623393233958</v>
      </c>
      <c r="N118" s="73">
        <f t="shared" si="55"/>
        <v>0.86756677566784457</v>
      </c>
      <c r="O118" s="74">
        <f t="shared" si="56"/>
        <v>13.243322433215541</v>
      </c>
      <c r="P118" s="75">
        <f t="shared" si="57"/>
        <v>1.152649027194719</v>
      </c>
      <c r="Q118" s="37">
        <f t="shared" si="58"/>
        <v>2.3052980543894378E-2</v>
      </c>
      <c r="R118" s="43">
        <f t="shared" si="59"/>
        <v>55.54610596108779</v>
      </c>
      <c r="S118" s="76">
        <f t="shared" si="60"/>
        <v>0.49732071116865806</v>
      </c>
      <c r="T118">
        <v>259</v>
      </c>
      <c r="U118" s="44">
        <f t="shared" si="61"/>
        <v>520.79069739801059</v>
      </c>
      <c r="V118">
        <v>41.5</v>
      </c>
      <c r="W118" s="77">
        <f t="shared" si="62"/>
        <v>141.95360663036845</v>
      </c>
      <c r="X118">
        <v>1.44</v>
      </c>
      <c r="Y118" s="47">
        <f t="shared" si="63"/>
        <v>6.6709801769026598</v>
      </c>
      <c r="Z118">
        <v>55.5</v>
      </c>
    </row>
    <row r="119" spans="1:26" ht="15" customHeight="1" thickBot="1">
      <c r="A119">
        <v>56</v>
      </c>
      <c r="B119" t="s">
        <v>167</v>
      </c>
      <c r="C119">
        <v>0.02</v>
      </c>
      <c r="D119">
        <v>100</v>
      </c>
      <c r="E119" s="37">
        <f t="shared" si="48"/>
        <v>56.028571428571432</v>
      </c>
      <c r="F119">
        <v>30</v>
      </c>
      <c r="G119" s="71">
        <f t="shared" si="49"/>
        <v>1.4285714285714286</v>
      </c>
      <c r="H119" s="39">
        <f t="shared" si="50"/>
        <v>100</v>
      </c>
      <c r="I119">
        <v>100</v>
      </c>
      <c r="J119" s="71">
        <f t="shared" si="51"/>
        <v>2.8571428571428574E-2</v>
      </c>
      <c r="K119" s="71">
        <f t="shared" si="52"/>
        <v>56.057142857142857</v>
      </c>
      <c r="L119" s="72">
        <f t="shared" si="53"/>
        <v>29.601802377270502</v>
      </c>
      <c r="M119" s="73">
        <f t="shared" si="54"/>
        <v>0.56812066325726773</v>
      </c>
      <c r="N119" s="73">
        <f t="shared" si="55"/>
        <v>0.86947939529276608</v>
      </c>
      <c r="O119" s="74">
        <f t="shared" si="56"/>
        <v>13.05206047072339</v>
      </c>
      <c r="P119" s="75">
        <f t="shared" si="57"/>
        <v>1.1501135109283249</v>
      </c>
      <c r="Q119" s="37">
        <f t="shared" si="58"/>
        <v>2.30022702185665E-2</v>
      </c>
      <c r="R119" s="43">
        <f t="shared" si="59"/>
        <v>56.046004540437131</v>
      </c>
      <c r="S119" s="76">
        <f t="shared" si="60"/>
        <v>0.49396921074225442</v>
      </c>
      <c r="T119">
        <v>260</v>
      </c>
      <c r="U119" s="44">
        <f t="shared" si="61"/>
        <v>526.34859490395252</v>
      </c>
      <c r="V119">
        <v>41.5</v>
      </c>
      <c r="W119" s="77">
        <f t="shared" si="62"/>
        <v>142.45124476671535</v>
      </c>
      <c r="X119">
        <v>1.44</v>
      </c>
      <c r="Y119" s="47">
        <f t="shared" si="63"/>
        <v>6.701467649831323</v>
      </c>
      <c r="Z119">
        <v>56</v>
      </c>
    </row>
    <row r="120" spans="1:26" ht="15" customHeight="1" thickBot="1">
      <c r="A120">
        <v>56.5</v>
      </c>
      <c r="B120" t="s">
        <v>167</v>
      </c>
      <c r="C120">
        <v>0.02</v>
      </c>
      <c r="D120">
        <v>100</v>
      </c>
      <c r="E120" s="37">
        <f t="shared" si="48"/>
        <v>56.528571428571432</v>
      </c>
      <c r="F120">
        <v>30</v>
      </c>
      <c r="G120" s="71">
        <f t="shared" si="49"/>
        <v>1.4285714285714286</v>
      </c>
      <c r="H120" s="39">
        <f t="shared" si="50"/>
        <v>100</v>
      </c>
      <c r="I120">
        <v>100</v>
      </c>
      <c r="J120" s="71">
        <f t="shared" si="51"/>
        <v>2.8571428571428574E-2</v>
      </c>
      <c r="K120" s="71">
        <f t="shared" si="52"/>
        <v>56.557142857142857</v>
      </c>
      <c r="L120" s="72">
        <f t="shared" si="53"/>
        <v>29.383670046756016</v>
      </c>
      <c r="M120" s="73">
        <f t="shared" si="54"/>
        <v>0.56309558789360725</v>
      </c>
      <c r="N120" s="73">
        <f t="shared" si="55"/>
        <v>0.87135369321662559</v>
      </c>
      <c r="O120" s="74">
        <f t="shared" si="56"/>
        <v>12.864630678337436</v>
      </c>
      <c r="P120" s="75">
        <f t="shared" si="57"/>
        <v>1.1476395954764051</v>
      </c>
      <c r="Q120" s="37">
        <f t="shared" si="58"/>
        <v>2.2952791909528102E-2</v>
      </c>
      <c r="R120" s="43">
        <f t="shared" si="59"/>
        <v>56.545905583819057</v>
      </c>
      <c r="S120" s="76">
        <f t="shared" si="60"/>
        <v>0.49065542014508168</v>
      </c>
      <c r="T120">
        <v>261</v>
      </c>
      <c r="U120" s="44">
        <f t="shared" si="61"/>
        <v>531.94154040492413</v>
      </c>
      <c r="V120">
        <v>41.5</v>
      </c>
      <c r="W120" s="77">
        <f t="shared" si="62"/>
        <v>142.95027221269584</v>
      </c>
      <c r="X120">
        <v>1.44</v>
      </c>
      <c r="Y120" s="47">
        <f t="shared" si="63"/>
        <v>6.7322157390359569</v>
      </c>
      <c r="Z120">
        <v>56.5</v>
      </c>
    </row>
    <row r="121" spans="1:26" ht="15" customHeight="1" thickBot="1">
      <c r="A121">
        <v>57</v>
      </c>
      <c r="B121" t="s">
        <v>167</v>
      </c>
      <c r="C121">
        <v>0.02</v>
      </c>
      <c r="D121">
        <v>100</v>
      </c>
      <c r="E121" s="37">
        <f t="shared" si="48"/>
        <v>57.028571428571432</v>
      </c>
      <c r="F121">
        <v>30</v>
      </c>
      <c r="G121" s="71">
        <f t="shared" si="49"/>
        <v>1.4285714285714286</v>
      </c>
      <c r="H121" s="39">
        <f t="shared" si="50"/>
        <v>100</v>
      </c>
      <c r="I121">
        <v>100</v>
      </c>
      <c r="J121" s="71">
        <f t="shared" si="51"/>
        <v>2.8571428571428574E-2</v>
      </c>
      <c r="K121" s="71">
        <f t="shared" si="52"/>
        <v>57.057142857142857</v>
      </c>
      <c r="L121" s="72">
        <f t="shared" si="53"/>
        <v>29.168447964442603</v>
      </c>
      <c r="M121" s="73">
        <f t="shared" si="54"/>
        <v>0.55815862757890888</v>
      </c>
      <c r="N121" s="73">
        <f t="shared" si="55"/>
        <v>0.87319060705554641</v>
      </c>
      <c r="O121" s="74">
        <f t="shared" si="56"/>
        <v>12.68093929444535</v>
      </c>
      <c r="P121" s="75">
        <f t="shared" si="57"/>
        <v>1.1452253287195366</v>
      </c>
      <c r="Q121" s="37">
        <f t="shared" si="58"/>
        <v>2.2904506574390734E-2</v>
      </c>
      <c r="R121" s="43">
        <f t="shared" si="59"/>
        <v>57.045809013148784</v>
      </c>
      <c r="S121" s="76">
        <f t="shared" si="60"/>
        <v>0.48737887084891812</v>
      </c>
      <c r="T121">
        <v>262</v>
      </c>
      <c r="U121" s="44">
        <f t="shared" si="61"/>
        <v>537.56946735021063</v>
      </c>
      <c r="V121">
        <v>41.5</v>
      </c>
      <c r="W121" s="77">
        <f t="shared" si="62"/>
        <v>143.45066856226532</v>
      </c>
      <c r="X121">
        <v>1.44</v>
      </c>
      <c r="Y121" s="47">
        <f t="shared" si="63"/>
        <v>6.7632175869947444</v>
      </c>
      <c r="Z121">
        <v>57</v>
      </c>
    </row>
    <row r="122" spans="1:26" ht="15" customHeight="1" thickBot="1">
      <c r="A122">
        <v>57.5</v>
      </c>
      <c r="B122" t="s">
        <v>167</v>
      </c>
      <c r="C122">
        <v>0.02</v>
      </c>
      <c r="D122">
        <v>100</v>
      </c>
      <c r="E122" s="37">
        <f t="shared" si="48"/>
        <v>57.528571428571432</v>
      </c>
      <c r="F122">
        <v>30</v>
      </c>
      <c r="G122" s="71">
        <f t="shared" si="49"/>
        <v>1.4285714285714286</v>
      </c>
      <c r="H122" s="39">
        <f t="shared" si="50"/>
        <v>100</v>
      </c>
      <c r="I122">
        <v>100</v>
      </c>
      <c r="J122" s="71">
        <f t="shared" si="51"/>
        <v>2.8571428571428574E-2</v>
      </c>
      <c r="K122" s="71">
        <f t="shared" si="52"/>
        <v>57.557142857142857</v>
      </c>
      <c r="L122" s="72">
        <f t="shared" si="53"/>
        <v>28.956084228689658</v>
      </c>
      <c r="M122" s="73">
        <f t="shared" si="54"/>
        <v>0.55330748480134195</v>
      </c>
      <c r="N122" s="73">
        <f t="shared" si="55"/>
        <v>0.87499104872246203</v>
      </c>
      <c r="O122" s="74">
        <f t="shared" si="56"/>
        <v>12.500895127753795</v>
      </c>
      <c r="P122" s="75">
        <f t="shared" si="57"/>
        <v>1.1428688344412874</v>
      </c>
      <c r="Q122" s="37">
        <f t="shared" si="58"/>
        <v>2.2857376688825749E-2</v>
      </c>
      <c r="R122" s="43">
        <f t="shared" si="59"/>
        <v>57.545714753377652</v>
      </c>
      <c r="S122" s="76">
        <f t="shared" si="60"/>
        <v>0.48413909639231384</v>
      </c>
      <c r="T122">
        <v>263</v>
      </c>
      <c r="U122" s="44">
        <f t="shared" si="61"/>
        <v>543.23231063099774</v>
      </c>
      <c r="V122">
        <v>41.5</v>
      </c>
      <c r="W122" s="77">
        <f t="shared" si="62"/>
        <v>143.95241378120568</v>
      </c>
      <c r="X122">
        <v>1.44</v>
      </c>
      <c r="Y122" s="47">
        <f t="shared" si="63"/>
        <v>6.7944665747165667</v>
      </c>
      <c r="Z122">
        <v>57.5</v>
      </c>
    </row>
    <row r="123" spans="1:26" ht="15" customHeight="1" thickBot="1">
      <c r="A123">
        <v>58</v>
      </c>
      <c r="B123" t="s">
        <v>167</v>
      </c>
      <c r="C123">
        <v>0.02</v>
      </c>
      <c r="D123">
        <v>100</v>
      </c>
      <c r="E123" s="37">
        <f t="shared" si="48"/>
        <v>58.028571428571432</v>
      </c>
      <c r="F123">
        <v>30</v>
      </c>
      <c r="G123" s="71">
        <f t="shared" si="49"/>
        <v>1.4285714285714286</v>
      </c>
      <c r="H123" s="39">
        <f t="shared" si="50"/>
        <v>100</v>
      </c>
      <c r="I123">
        <v>100</v>
      </c>
      <c r="J123" s="71">
        <f t="shared" si="51"/>
        <v>2.8571428571428574E-2</v>
      </c>
      <c r="K123" s="71">
        <f t="shared" si="52"/>
        <v>58.057142857142857</v>
      </c>
      <c r="L123" s="72">
        <f t="shared" si="53"/>
        <v>28.746527993118637</v>
      </c>
      <c r="M123" s="73">
        <f t="shared" si="54"/>
        <v>0.54853994123461458</v>
      </c>
      <c r="N123" s="73">
        <f t="shared" si="55"/>
        <v>0.87675590514803525</v>
      </c>
      <c r="O123" s="74">
        <f t="shared" si="56"/>
        <v>12.324409485196469</v>
      </c>
      <c r="P123" s="75">
        <f t="shared" si="57"/>
        <v>1.1405683088397969</v>
      </c>
      <c r="Q123" s="37">
        <f t="shared" si="58"/>
        <v>2.2811366176795939E-2</v>
      </c>
      <c r="R123" s="43">
        <f t="shared" si="59"/>
        <v>58.045622732353593</v>
      </c>
      <c r="S123" s="76">
        <f t="shared" si="60"/>
        <v>0.48093563268700462</v>
      </c>
      <c r="T123">
        <v>264</v>
      </c>
      <c r="U123" s="44">
        <f t="shared" si="61"/>
        <v>548.93000654790853</v>
      </c>
      <c r="V123">
        <v>41.5</v>
      </c>
      <c r="W123" s="77">
        <f t="shared" si="62"/>
        <v>144.4554881997087</v>
      </c>
      <c r="X123">
        <v>1.44</v>
      </c>
      <c r="Y123" s="47">
        <f t="shared" si="63"/>
        <v>6.8259563114575217</v>
      </c>
      <c r="Z123">
        <v>58</v>
      </c>
    </row>
    <row r="124" spans="1:26" ht="15" customHeight="1" thickBot="1">
      <c r="A124">
        <v>58.5</v>
      </c>
      <c r="B124" t="s">
        <v>167</v>
      </c>
      <c r="C124">
        <v>0.02</v>
      </c>
      <c r="D124">
        <v>100</v>
      </c>
      <c r="E124" s="37">
        <f t="shared" si="48"/>
        <v>58.528571428571432</v>
      </c>
      <c r="F124">
        <v>30</v>
      </c>
      <c r="G124" s="71">
        <f t="shared" si="49"/>
        <v>1.4285714285714286</v>
      </c>
      <c r="H124" s="39">
        <f t="shared" si="50"/>
        <v>100</v>
      </c>
      <c r="I124">
        <v>100</v>
      </c>
      <c r="J124" s="71">
        <f t="shared" si="51"/>
        <v>2.8571428571428574E-2</v>
      </c>
      <c r="K124" s="71">
        <f t="shared" si="52"/>
        <v>58.557142857142857</v>
      </c>
      <c r="L124" s="72">
        <f t="shared" si="53"/>
        <v>28.539729446376835</v>
      </c>
      <c r="M124" s="73">
        <f t="shared" si="54"/>
        <v>0.54385385435562705</v>
      </c>
      <c r="N124" s="73">
        <f t="shared" si="55"/>
        <v>0.87848603898434918</v>
      </c>
      <c r="O124" s="74">
        <f t="shared" si="56"/>
        <v>12.151396101565084</v>
      </c>
      <c r="P124" s="75">
        <f t="shared" si="57"/>
        <v>1.1383220172242439</v>
      </c>
      <c r="Q124" s="37">
        <f t="shared" si="58"/>
        <v>2.2766440344484877E-2</v>
      </c>
      <c r="R124" s="43">
        <f t="shared" si="59"/>
        <v>58.545532880688967</v>
      </c>
      <c r="S124" s="76">
        <f t="shared" si="60"/>
        <v>0.47776801829924592</v>
      </c>
      <c r="T124">
        <v>265</v>
      </c>
      <c r="U124" s="44">
        <f t="shared" si="61"/>
        <v>554.66249277912004</v>
      </c>
      <c r="V124">
        <v>41.5</v>
      </c>
      <c r="W124" s="77">
        <f t="shared" si="62"/>
        <v>144.95987250508614</v>
      </c>
      <c r="X124">
        <v>1.44</v>
      </c>
      <c r="Y124" s="47">
        <f t="shared" si="63"/>
        <v>6.8576806249649316</v>
      </c>
      <c r="Z124">
        <v>58.5</v>
      </c>
    </row>
    <row r="125" spans="1:26" ht="15" customHeight="1" thickBot="1">
      <c r="A125">
        <v>59</v>
      </c>
      <c r="B125" t="s">
        <v>167</v>
      </c>
      <c r="C125">
        <v>0.02</v>
      </c>
      <c r="D125">
        <v>100</v>
      </c>
      <c r="E125" s="37">
        <f t="shared" si="48"/>
        <v>59.028571428571432</v>
      </c>
      <c r="F125">
        <v>30</v>
      </c>
      <c r="G125" s="71">
        <f t="shared" si="49"/>
        <v>1.4285714285714286</v>
      </c>
      <c r="H125" s="39">
        <f t="shared" si="50"/>
        <v>99.999999999999986</v>
      </c>
      <c r="I125">
        <v>100</v>
      </c>
      <c r="J125" s="71">
        <f t="shared" si="51"/>
        <v>2.8571428571428574E-2</v>
      </c>
      <c r="K125" s="71">
        <f t="shared" si="52"/>
        <v>59.057142857142857</v>
      </c>
      <c r="L125" s="72">
        <f t="shared" si="53"/>
        <v>28.335639792045807</v>
      </c>
      <c r="M125" s="73">
        <f t="shared" si="54"/>
        <v>0.53924715423402803</v>
      </c>
      <c r="N125" s="73">
        <f t="shared" si="55"/>
        <v>0.88018228929142406</v>
      </c>
      <c r="O125" s="74">
        <f t="shared" si="56"/>
        <v>11.98177107085759</v>
      </c>
      <c r="P125" s="75">
        <f t="shared" si="57"/>
        <v>1.1361282908850996</v>
      </c>
      <c r="Q125" s="37">
        <f t="shared" si="58"/>
        <v>2.2722565817701993E-2</v>
      </c>
      <c r="R125" s="43">
        <f t="shared" si="59"/>
        <v>59.045445131635404</v>
      </c>
      <c r="S125" s="76">
        <f t="shared" si="60"/>
        <v>0.47463579470759243</v>
      </c>
      <c r="T125">
        <v>266</v>
      </c>
      <c r="U125" s="44">
        <f t="shared" si="61"/>
        <v>560.4297083490593</v>
      </c>
      <c r="V125">
        <v>41.5</v>
      </c>
      <c r="W125" s="77">
        <f t="shared" si="62"/>
        <v>145.46554773460687</v>
      </c>
      <c r="X125">
        <v>1.44</v>
      </c>
      <c r="Y125" s="47">
        <f t="shared" si="63"/>
        <v>6.8896335522176413</v>
      </c>
      <c r="Z125">
        <v>59</v>
      </c>
    </row>
    <row r="126" spans="1:26" ht="15" customHeight="1" thickBot="1">
      <c r="A126">
        <v>59.5</v>
      </c>
      <c r="B126" t="s">
        <v>167</v>
      </c>
      <c r="C126">
        <v>0.02</v>
      </c>
      <c r="D126">
        <v>100</v>
      </c>
      <c r="E126" s="37">
        <f t="shared" si="48"/>
        <v>59.528571428571432</v>
      </c>
      <c r="F126">
        <v>30</v>
      </c>
      <c r="G126" s="71">
        <f t="shared" si="49"/>
        <v>1.4285714285714286</v>
      </c>
      <c r="H126" s="39">
        <f t="shared" si="50"/>
        <v>100</v>
      </c>
      <c r="I126">
        <v>100</v>
      </c>
      <c r="J126" s="71">
        <f t="shared" si="51"/>
        <v>2.8571428571428574E-2</v>
      </c>
      <c r="K126" s="71">
        <f t="shared" si="52"/>
        <v>59.557142857142857</v>
      </c>
      <c r="L126" s="72">
        <f t="shared" si="53"/>
        <v>28.13421122871636</v>
      </c>
      <c r="M126" s="73">
        <f t="shared" si="54"/>
        <v>0.5347178404835623</v>
      </c>
      <c r="N126" s="73">
        <f t="shared" si="55"/>
        <v>0.88184547220666198</v>
      </c>
      <c r="O126" s="74">
        <f t="shared" si="56"/>
        <v>11.815452779333796</v>
      </c>
      <c r="P126" s="75">
        <f t="shared" si="57"/>
        <v>1.1339855241278012</v>
      </c>
      <c r="Q126" s="37">
        <f t="shared" si="58"/>
        <v>2.2679710482556025E-2</v>
      </c>
      <c r="R126" s="43">
        <f t="shared" si="59"/>
        <v>59.545359420965113</v>
      </c>
      <c r="S126" s="76">
        <f t="shared" si="60"/>
        <v>0.4715385065385535</v>
      </c>
      <c r="T126">
        <v>267</v>
      </c>
      <c r="U126" s="44">
        <f t="shared" si="61"/>
        <v>566.23159359769022</v>
      </c>
      <c r="V126">
        <v>41.5</v>
      </c>
      <c r="W126" s="77">
        <f t="shared" si="62"/>
        <v>145.97249526846102</v>
      </c>
      <c r="X126">
        <v>1.44</v>
      </c>
      <c r="Y126" s="47">
        <f t="shared" si="63"/>
        <v>6.9218093306333142</v>
      </c>
      <c r="Z126">
        <v>59.5</v>
      </c>
    </row>
    <row r="127" spans="1:26" ht="15" customHeight="1" thickBot="1">
      <c r="A127">
        <v>60</v>
      </c>
      <c r="B127" t="s">
        <v>167</v>
      </c>
      <c r="C127">
        <v>0.02</v>
      </c>
      <c r="D127">
        <v>100</v>
      </c>
      <c r="E127" s="37">
        <f t="shared" si="48"/>
        <v>60.028571428571432</v>
      </c>
      <c r="F127">
        <v>30</v>
      </c>
      <c r="G127" s="71">
        <f t="shared" si="49"/>
        <v>1.4285714285714286</v>
      </c>
      <c r="H127" s="39">
        <f t="shared" si="50"/>
        <v>100</v>
      </c>
      <c r="I127">
        <v>100</v>
      </c>
      <c r="J127" s="71">
        <f t="shared" si="51"/>
        <v>2.8571428571428574E-2</v>
      </c>
      <c r="K127" s="71">
        <f t="shared" si="52"/>
        <v>60.057142857142857</v>
      </c>
      <c r="L127" s="72">
        <f t="shared" si="53"/>
        <v>27.935396930250143</v>
      </c>
      <c r="M127" s="73">
        <f t="shared" si="54"/>
        <v>0.53026397936577918</v>
      </c>
      <c r="N127" s="73">
        <f t="shared" si="55"/>
        <v>0.8834763815973472</v>
      </c>
      <c r="O127" s="74">
        <f t="shared" si="56"/>
        <v>11.652361840265286</v>
      </c>
      <c r="P127" s="75">
        <f t="shared" si="57"/>
        <v>1.1318921714601757</v>
      </c>
      <c r="Q127" s="37">
        <f t="shared" si="58"/>
        <v>2.2637843429203514E-2</v>
      </c>
      <c r="R127" s="43">
        <f t="shared" si="59"/>
        <v>60.04527568685841</v>
      </c>
      <c r="S127" s="76">
        <f t="shared" si="60"/>
        <v>0.46847570178148895</v>
      </c>
      <c r="T127">
        <v>268</v>
      </c>
      <c r="U127" s="44">
        <f t="shared" si="61"/>
        <v>572.06809015038993</v>
      </c>
      <c r="V127">
        <v>41.5</v>
      </c>
      <c r="W127" s="77">
        <f t="shared" si="62"/>
        <v>146.48069682285208</v>
      </c>
      <c r="X127">
        <v>1.44</v>
      </c>
      <c r="Y127" s="47">
        <f t="shared" si="63"/>
        <v>6.9542023897155181</v>
      </c>
      <c r="Z127">
        <v>60</v>
      </c>
    </row>
    <row r="128" spans="1:26" ht="15" customHeight="1" thickBot="1">
      <c r="A128">
        <v>60.5</v>
      </c>
      <c r="B128" t="s">
        <v>167</v>
      </c>
      <c r="C128">
        <v>0.02</v>
      </c>
      <c r="D128">
        <v>100</v>
      </c>
      <c r="E128" s="37">
        <f t="shared" si="48"/>
        <v>60.528571428571432</v>
      </c>
      <c r="F128">
        <v>30</v>
      </c>
      <c r="G128" s="71">
        <f t="shared" si="49"/>
        <v>1.4285714285714286</v>
      </c>
      <c r="H128" s="39">
        <f t="shared" si="50"/>
        <v>100</v>
      </c>
      <c r="I128">
        <v>100</v>
      </c>
      <c r="J128" s="71">
        <f t="shared" si="51"/>
        <v>2.8571428571428574E-2</v>
      </c>
      <c r="K128" s="71">
        <f t="shared" si="52"/>
        <v>60.557142857142857</v>
      </c>
      <c r="L128" s="72">
        <f t="shared" si="53"/>
        <v>27.73915102624553</v>
      </c>
      <c r="M128" s="73">
        <f t="shared" si="54"/>
        <v>0.52588370103729154</v>
      </c>
      <c r="N128" s="73">
        <f t="shared" si="55"/>
        <v>0.88507578969637013</v>
      </c>
      <c r="O128" s="74">
        <f t="shared" si="56"/>
        <v>11.492421030362991</v>
      </c>
      <c r="P128" s="75">
        <f t="shared" si="57"/>
        <v>1.1298467449245846</v>
      </c>
      <c r="Q128" s="37">
        <f t="shared" si="58"/>
        <v>2.2596934898491693E-2</v>
      </c>
      <c r="R128" s="43">
        <f t="shared" si="59"/>
        <v>60.545193869796982</v>
      </c>
      <c r="S128" s="76">
        <f t="shared" si="60"/>
        <v>0.46544693198403064</v>
      </c>
      <c r="T128">
        <v>269</v>
      </c>
      <c r="U128" s="44">
        <f t="shared" si="61"/>
        <v>577.93914088841677</v>
      </c>
      <c r="V128">
        <v>41.5</v>
      </c>
      <c r="W128" s="77">
        <f t="shared" si="62"/>
        <v>146.99013444321571</v>
      </c>
      <c r="X128">
        <v>1.44</v>
      </c>
      <c r="Y128" s="47">
        <f t="shared" si="63"/>
        <v>6.9868073431151352</v>
      </c>
      <c r="Z128">
        <v>60.5</v>
      </c>
    </row>
    <row r="129" spans="1:26" ht="15" customHeight="1" thickBot="1">
      <c r="A129">
        <v>61</v>
      </c>
      <c r="B129" t="s">
        <v>167</v>
      </c>
      <c r="C129">
        <v>0.02</v>
      </c>
      <c r="D129">
        <v>100</v>
      </c>
      <c r="E129" s="37">
        <f t="shared" si="48"/>
        <v>61.028571428571432</v>
      </c>
      <c r="F129">
        <v>30</v>
      </c>
      <c r="G129" s="71">
        <f t="shared" si="49"/>
        <v>1.4285714285714286</v>
      </c>
      <c r="H129" s="39">
        <f t="shared" si="50"/>
        <v>99.999999999999986</v>
      </c>
      <c r="I129">
        <v>100</v>
      </c>
      <c r="J129" s="71">
        <f t="shared" si="51"/>
        <v>2.8571428571428574E-2</v>
      </c>
      <c r="K129" s="71">
        <f t="shared" si="52"/>
        <v>61.057142857142857</v>
      </c>
      <c r="L129" s="72">
        <f t="shared" si="53"/>
        <v>27.545428582723432</v>
      </c>
      <c r="M129" s="73">
        <f t="shared" si="54"/>
        <v>0.5215751969323511</v>
      </c>
      <c r="N129" s="73">
        <f t="shared" si="55"/>
        <v>0.88664444772136253</v>
      </c>
      <c r="O129" s="74">
        <f t="shared" si="56"/>
        <v>11.33555522786375</v>
      </c>
      <c r="P129" s="75">
        <f t="shared" si="57"/>
        <v>1.1278478115663571</v>
      </c>
      <c r="Q129" s="37">
        <f t="shared" si="58"/>
        <v>2.2556956231327141E-2</v>
      </c>
      <c r="R129" s="43">
        <f t="shared" si="59"/>
        <v>61.045113912462654</v>
      </c>
      <c r="S129" s="76">
        <f t="shared" si="60"/>
        <v>0.46245175242924536</v>
      </c>
      <c r="T129">
        <v>270</v>
      </c>
      <c r="U129" s="44">
        <f t="shared" si="61"/>
        <v>583.84468991997107</v>
      </c>
      <c r="V129">
        <v>41.5</v>
      </c>
      <c r="W129" s="77">
        <f t="shared" si="62"/>
        <v>147.50079049756596</v>
      </c>
      <c r="X129">
        <v>1.44</v>
      </c>
      <c r="Y129" s="47">
        <f t="shared" si="63"/>
        <v>7.0196189810823171</v>
      </c>
      <c r="Z129">
        <v>61</v>
      </c>
    </row>
    <row r="130" spans="1:26" ht="15" customHeight="1" thickBot="1">
      <c r="A130">
        <v>61.5</v>
      </c>
      <c r="B130" t="s">
        <v>167</v>
      </c>
      <c r="C130">
        <v>0.02</v>
      </c>
      <c r="D130">
        <v>100</v>
      </c>
      <c r="E130" s="37">
        <f t="shared" si="48"/>
        <v>61.528571428571432</v>
      </c>
      <c r="F130">
        <v>30</v>
      </c>
      <c r="G130" s="71">
        <f t="shared" si="49"/>
        <v>1.4285714285714286</v>
      </c>
      <c r="H130" s="39">
        <f t="shared" si="50"/>
        <v>99.999999999999986</v>
      </c>
      <c r="I130">
        <v>100</v>
      </c>
      <c r="J130" s="71">
        <f t="shared" si="51"/>
        <v>2.8571428571428574E-2</v>
      </c>
      <c r="K130" s="71">
        <f t="shared" si="52"/>
        <v>61.557142857142857</v>
      </c>
      <c r="L130" s="72">
        <f t="shared" si="53"/>
        <v>27.354185583046927</v>
      </c>
      <c r="M130" s="73">
        <f t="shared" si="54"/>
        <v>0.51733671727304475</v>
      </c>
      <c r="N130" s="73">
        <f t="shared" si="55"/>
        <v>0.88818308647746114</v>
      </c>
      <c r="O130" s="74">
        <f t="shared" si="56"/>
        <v>11.181691352253893</v>
      </c>
      <c r="P130" s="75">
        <f t="shared" si="57"/>
        <v>1.1258939910306167</v>
      </c>
      <c r="Q130" s="37">
        <f t="shared" si="58"/>
        <v>2.2517879820612336E-2</v>
      </c>
      <c r="R130" s="43">
        <f t="shared" si="59"/>
        <v>61.545035759641223</v>
      </c>
      <c r="S130" s="76">
        <f t="shared" si="60"/>
        <v>0.45948972229569052</v>
      </c>
      <c r="T130">
        <v>271</v>
      </c>
      <c r="U130" s="44">
        <f t="shared" si="61"/>
        <v>589.78468255184669</v>
      </c>
      <c r="V130">
        <v>41.5</v>
      </c>
      <c r="W130" s="77">
        <f t="shared" si="62"/>
        <v>148.01264766996727</v>
      </c>
      <c r="X130">
        <v>1.44</v>
      </c>
      <c r="Y130" s="47">
        <f t="shared" si="63"/>
        <v>7.0526322632867258</v>
      </c>
      <c r="Z130">
        <v>61.5</v>
      </c>
    </row>
    <row r="131" spans="1:26" ht="15" customHeight="1" thickBot="1">
      <c r="A131">
        <v>62</v>
      </c>
      <c r="B131" t="s">
        <v>167</v>
      </c>
      <c r="C131">
        <v>0.02</v>
      </c>
      <c r="D131">
        <v>100</v>
      </c>
      <c r="E131" s="37">
        <f t="shared" si="48"/>
        <v>62.028571428571432</v>
      </c>
      <c r="F131">
        <v>30</v>
      </c>
      <c r="G131" s="71">
        <f t="shared" si="49"/>
        <v>1.4285714285714286</v>
      </c>
      <c r="H131" s="39">
        <f t="shared" si="50"/>
        <v>100</v>
      </c>
      <c r="I131">
        <v>100</v>
      </c>
      <c r="J131" s="71">
        <f t="shared" si="51"/>
        <v>2.8571428571428574E-2</v>
      </c>
      <c r="K131" s="71">
        <f t="shared" si="52"/>
        <v>62.057142857142857</v>
      </c>
      <c r="L131" s="72">
        <f t="shared" si="53"/>
        <v>27.165378909086765</v>
      </c>
      <c r="M131" s="73">
        <f t="shared" si="54"/>
        <v>0.51316656869990884</v>
      </c>
      <c r="N131" s="73">
        <f t="shared" si="55"/>
        <v>0.88969241694393386</v>
      </c>
      <c r="O131" s="74">
        <f t="shared" si="56"/>
        <v>11.030758305606611</v>
      </c>
      <c r="P131" s="75">
        <f t="shared" si="57"/>
        <v>1.1239839532801339</v>
      </c>
      <c r="Q131" s="37">
        <f t="shared" si="58"/>
        <v>2.2479679065602678E-2</v>
      </c>
      <c r="R131" s="43">
        <f t="shared" si="59"/>
        <v>62.044959358131209</v>
      </c>
      <c r="S131" s="76">
        <f t="shared" si="60"/>
        <v>0.45656040480144727</v>
      </c>
      <c r="T131">
        <v>272</v>
      </c>
      <c r="U131" s="44">
        <f t="shared" si="61"/>
        <v>595.75906526167023</v>
      </c>
      <c r="V131">
        <v>41.5</v>
      </c>
      <c r="W131" s="77">
        <f t="shared" si="62"/>
        <v>148.52568895413216</v>
      </c>
      <c r="X131">
        <v>1.44</v>
      </c>
      <c r="Y131" s="47">
        <f t="shared" si="63"/>
        <v>7.0858423119852967</v>
      </c>
      <c r="Z131">
        <v>62</v>
      </c>
    </row>
    <row r="132" spans="1:26" ht="15" customHeight="1" thickBot="1">
      <c r="A132">
        <v>62.5</v>
      </c>
      <c r="B132" t="s">
        <v>167</v>
      </c>
      <c r="C132">
        <v>0.02</v>
      </c>
      <c r="D132">
        <v>100</v>
      </c>
      <c r="E132" s="37">
        <f t="shared" si="48"/>
        <v>62.528571428571432</v>
      </c>
      <c r="F132">
        <v>30</v>
      </c>
      <c r="G132" s="71">
        <f t="shared" si="49"/>
        <v>1.4285714285714286</v>
      </c>
      <c r="H132" s="39">
        <f t="shared" si="50"/>
        <v>100.00000000000001</v>
      </c>
      <c r="I132">
        <v>100</v>
      </c>
      <c r="J132" s="71">
        <f t="shared" si="51"/>
        <v>2.8571428571428574E-2</v>
      </c>
      <c r="K132" s="71">
        <f t="shared" si="52"/>
        <v>62.557142857142857</v>
      </c>
      <c r="L132" s="72">
        <f t="shared" si="53"/>
        <v>26.978966322643327</v>
      </c>
      <c r="M132" s="73">
        <f t="shared" si="54"/>
        <v>0.50906311201622212</v>
      </c>
      <c r="N132" s="73">
        <f t="shared" si="55"/>
        <v>0.89117313084492267</v>
      </c>
      <c r="O132" s="74">
        <f t="shared" si="56"/>
        <v>10.882686915507733</v>
      </c>
      <c r="P132" s="75">
        <f t="shared" si="57"/>
        <v>1.1221164164272979</v>
      </c>
      <c r="Q132" s="37">
        <f t="shared" si="58"/>
        <v>2.2442328328545959E-2</v>
      </c>
      <c r="R132" s="43">
        <f t="shared" si="59"/>
        <v>62.544884656657089</v>
      </c>
      <c r="S132" s="76">
        <f t="shared" si="60"/>
        <v>0.45366336733315626</v>
      </c>
      <c r="T132">
        <v>273</v>
      </c>
      <c r="U132" s="44">
        <f t="shared" si="61"/>
        <v>601.76778567072904</v>
      </c>
      <c r="V132">
        <v>41.5</v>
      </c>
      <c r="W132" s="77">
        <f t="shared" si="62"/>
        <v>149.03989764714385</v>
      </c>
      <c r="X132">
        <v>1.44</v>
      </c>
      <c r="Y132" s="47">
        <f t="shared" si="63"/>
        <v>7.1192444055180193</v>
      </c>
      <c r="Z132">
        <v>62.5</v>
      </c>
    </row>
    <row r="133" spans="1:26" ht="15" customHeight="1" thickBot="1">
      <c r="A133">
        <v>63</v>
      </c>
      <c r="B133" t="s">
        <v>167</v>
      </c>
      <c r="C133">
        <v>0.02</v>
      </c>
      <c r="D133">
        <v>100</v>
      </c>
      <c r="E133" s="37">
        <f t="shared" si="48"/>
        <v>63.028571428571432</v>
      </c>
      <c r="F133">
        <v>30</v>
      </c>
      <c r="G133" s="71">
        <f t="shared" si="49"/>
        <v>1.4285714285714286</v>
      </c>
      <c r="H133" s="39">
        <f t="shared" si="50"/>
        <v>100.00000000000001</v>
      </c>
      <c r="I133">
        <v>100</v>
      </c>
      <c r="J133" s="71">
        <f t="shared" si="51"/>
        <v>2.8571428571428574E-2</v>
      </c>
      <c r="K133" s="71">
        <f t="shared" si="52"/>
        <v>63.057142857142857</v>
      </c>
      <c r="L133" s="72">
        <f t="shared" si="53"/>
        <v>26.794906447134235</v>
      </c>
      <c r="M133" s="73">
        <f t="shared" si="54"/>
        <v>0.50502476003966557</v>
      </c>
      <c r="N133" s="73">
        <f t="shared" si="55"/>
        <v>0.89262590120456986</v>
      </c>
      <c r="O133" s="74">
        <f t="shared" si="56"/>
        <v>10.737409879543009</v>
      </c>
      <c r="P133" s="75">
        <f t="shared" si="57"/>
        <v>1.1202901446737454</v>
      </c>
      <c r="Q133" s="37">
        <f t="shared" si="58"/>
        <v>2.2405802893474908E-2</v>
      </c>
      <c r="R133" s="43">
        <f t="shared" si="59"/>
        <v>63.044811605786947</v>
      </c>
      <c r="S133" s="76">
        <f t="shared" si="60"/>
        <v>0.45079818156102802</v>
      </c>
      <c r="T133">
        <v>274</v>
      </c>
      <c r="U133" s="44">
        <f t="shared" si="61"/>
        <v>607.81079251737515</v>
      </c>
      <c r="V133">
        <v>41.5</v>
      </c>
      <c r="W133" s="77">
        <f t="shared" si="62"/>
        <v>149.55525734330172</v>
      </c>
      <c r="X133">
        <v>1.44</v>
      </c>
      <c r="Y133" s="47">
        <f t="shared" si="63"/>
        <v>7.1528339721135312</v>
      </c>
      <c r="Z133">
        <v>63</v>
      </c>
    </row>
    <row r="134" spans="1:26" ht="15" customHeight="1" thickBot="1">
      <c r="A134">
        <v>63.5</v>
      </c>
      <c r="B134" t="s">
        <v>167</v>
      </c>
      <c r="C134">
        <v>0.02</v>
      </c>
      <c r="D134">
        <v>100</v>
      </c>
      <c r="E134" s="37">
        <f t="shared" si="48"/>
        <v>63.528571428571432</v>
      </c>
      <c r="F134">
        <v>30</v>
      </c>
      <c r="G134" s="71">
        <f t="shared" si="49"/>
        <v>1.4285714285714286</v>
      </c>
      <c r="H134" s="39">
        <f t="shared" si="50"/>
        <v>100</v>
      </c>
      <c r="I134">
        <v>100</v>
      </c>
      <c r="J134" s="71">
        <f t="shared" si="51"/>
        <v>2.8571428571428574E-2</v>
      </c>
      <c r="K134" s="71">
        <f t="shared" si="52"/>
        <v>63.557142857142857</v>
      </c>
      <c r="L134" s="72">
        <f t="shared" si="53"/>
        <v>26.613158749555133</v>
      </c>
      <c r="M134" s="73">
        <f t="shared" si="54"/>
        <v>0.50104997555543151</v>
      </c>
      <c r="N134" s="73">
        <f t="shared" si="55"/>
        <v>0.89405138288680952</v>
      </c>
      <c r="O134" s="74">
        <f t="shared" si="56"/>
        <v>10.594861711319055</v>
      </c>
      <c r="P134" s="75">
        <f t="shared" si="57"/>
        <v>1.118503946351598</v>
      </c>
      <c r="Q134" s="37">
        <f t="shared" si="58"/>
        <v>2.237007892703196E-2</v>
      </c>
      <c r="R134" s="43">
        <f t="shared" si="59"/>
        <v>63.544740157854065</v>
      </c>
      <c r="S134" s="76">
        <f t="shared" si="60"/>
        <v>0.44796442354073562</v>
      </c>
      <c r="T134">
        <v>275</v>
      </c>
      <c r="U134" s="44">
        <f t="shared" si="61"/>
        <v>613.8880356310101</v>
      </c>
      <c r="V134">
        <v>41.5</v>
      </c>
      <c r="W134" s="77">
        <f t="shared" si="62"/>
        <v>150.07175192808953</v>
      </c>
      <c r="X134">
        <v>1.44</v>
      </c>
      <c r="Y134" s="47">
        <f t="shared" si="63"/>
        <v>7.18660658398744</v>
      </c>
      <c r="Z134">
        <v>63.5</v>
      </c>
    </row>
    <row r="135" spans="1:26" ht="15" customHeight="1" thickBot="1">
      <c r="A135">
        <v>64</v>
      </c>
      <c r="B135" t="s">
        <v>167</v>
      </c>
      <c r="C135">
        <v>0.02</v>
      </c>
      <c r="D135">
        <v>100</v>
      </c>
      <c r="E135" s="37">
        <f t="shared" si="48"/>
        <v>64.028571428571425</v>
      </c>
      <c r="F135">
        <v>30</v>
      </c>
      <c r="G135" s="71">
        <f t="shared" si="49"/>
        <v>1.4285714285714286</v>
      </c>
      <c r="H135" s="39">
        <f t="shared" si="50"/>
        <v>100</v>
      </c>
      <c r="I135">
        <v>100</v>
      </c>
      <c r="J135" s="71">
        <f t="shared" si="51"/>
        <v>2.8571428571428574E-2</v>
      </c>
      <c r="K135" s="71">
        <f t="shared" si="52"/>
        <v>64.057142857142864</v>
      </c>
      <c r="L135" s="72">
        <f t="shared" si="53"/>
        <v>26.433683522720418</v>
      </c>
      <c r="M135" s="73">
        <f t="shared" si="54"/>
        <v>0.49713726936523966</v>
      </c>
      <c r="N135" s="73">
        <f t="shared" si="55"/>
        <v>0.89545021312011597</v>
      </c>
      <c r="O135" s="74">
        <f t="shared" si="56"/>
        <v>10.454978687988401</v>
      </c>
      <c r="P135" s="75">
        <f t="shared" si="57"/>
        <v>1.116756672060627</v>
      </c>
      <c r="Q135" s="37">
        <f t="shared" si="58"/>
        <v>2.2335133441212542E-2</v>
      </c>
      <c r="R135" s="43">
        <f t="shared" si="59"/>
        <v>64.04467026688242</v>
      </c>
      <c r="S135" s="76">
        <f t="shared" si="60"/>
        <v>0.44516167380305643</v>
      </c>
      <c r="T135">
        <v>276</v>
      </c>
      <c r="U135" s="44">
        <f t="shared" si="61"/>
        <v>619.99946590663797</v>
      </c>
      <c r="V135">
        <v>41.5</v>
      </c>
      <c r="W135" s="77">
        <f t="shared" si="62"/>
        <v>150.58936557226463</v>
      </c>
      <c r="X135">
        <v>1.44</v>
      </c>
      <c r="Y135" s="47">
        <f t="shared" si="63"/>
        <v>7.2205579517173222</v>
      </c>
      <c r="Z135">
        <v>64</v>
      </c>
    </row>
    <row r="136" spans="1:26" ht="15" customHeight="1" thickBot="1">
      <c r="A136">
        <v>64.5</v>
      </c>
      <c r="B136" t="s">
        <v>167</v>
      </c>
      <c r="C136">
        <v>0.02</v>
      </c>
      <c r="D136">
        <v>100</v>
      </c>
      <c r="E136" s="37">
        <f t="shared" si="48"/>
        <v>64.528571428571425</v>
      </c>
      <c r="F136">
        <v>30</v>
      </c>
      <c r="G136" s="71">
        <f t="shared" si="49"/>
        <v>1.4285714285714286</v>
      </c>
      <c r="H136" s="39">
        <f t="shared" si="50"/>
        <v>100</v>
      </c>
      <c r="I136">
        <v>100</v>
      </c>
      <c r="J136" s="71">
        <f t="shared" si="51"/>
        <v>2.8571428571428574E-2</v>
      </c>
      <c r="K136" s="71">
        <f t="shared" si="52"/>
        <v>64.557142857142864</v>
      </c>
      <c r="L136" s="72">
        <f t="shared" si="53"/>
        <v>26.2564418677891</v>
      </c>
      <c r="M136" s="73">
        <f t="shared" si="54"/>
        <v>0.49328519842705432</v>
      </c>
      <c r="N136" s="73">
        <f t="shared" si="55"/>
        <v>0.8968230120075078</v>
      </c>
      <c r="O136" s="74">
        <f t="shared" si="56"/>
        <v>10.317698799249214</v>
      </c>
      <c r="P136" s="75">
        <f t="shared" si="57"/>
        <v>1.1150472128960363</v>
      </c>
      <c r="Q136" s="37">
        <f t="shared" si="58"/>
        <v>2.2300944257920726E-2</v>
      </c>
      <c r="R136" s="43">
        <f t="shared" si="59"/>
        <v>64.544601888515842</v>
      </c>
      <c r="S136" s="76">
        <f t="shared" si="60"/>
        <v>0.442389517432072</v>
      </c>
      <c r="T136">
        <v>277</v>
      </c>
      <c r="U136" s="44">
        <f t="shared" si="61"/>
        <v>626.14503527998443</v>
      </c>
      <c r="V136">
        <v>41.5</v>
      </c>
      <c r="W136" s="77">
        <f t="shared" si="62"/>
        <v>151.10808272606681</v>
      </c>
      <c r="X136">
        <v>1.44</v>
      </c>
      <c r="Y136" s="47">
        <f t="shared" si="63"/>
        <v>7.2546839188794321</v>
      </c>
      <c r="Z136">
        <v>64.5</v>
      </c>
    </row>
    <row r="137" spans="1:26" ht="15" customHeight="1" thickBot="1">
      <c r="A137">
        <v>65</v>
      </c>
      <c r="B137" t="s">
        <v>167</v>
      </c>
      <c r="C137">
        <v>0.02</v>
      </c>
      <c r="D137">
        <v>100</v>
      </c>
      <c r="E137" s="37">
        <f t="shared" ref="E137:E168" si="64">A137+J137</f>
        <v>65.028571428571425</v>
      </c>
      <c r="F137">
        <v>30</v>
      </c>
      <c r="G137" s="71">
        <f t="shared" ref="G137:G168" si="65">100/(100-F137)</f>
        <v>1.4285714285714286</v>
      </c>
      <c r="H137" s="39">
        <f t="shared" ref="H137:H168" si="66">3.1415926*E137*M137</f>
        <v>100</v>
      </c>
      <c r="I137">
        <v>100</v>
      </c>
      <c r="J137" s="71">
        <f t="shared" ref="J137:J168" si="67">G137*C137</f>
        <v>2.8571428571428574E-2</v>
      </c>
      <c r="K137" s="71">
        <f t="shared" ref="K137:K168" si="68">A137+2*J137</f>
        <v>65.057142857142864</v>
      </c>
      <c r="L137" s="72">
        <f t="shared" ref="L137:L168" si="69">ATAN(I137/(3.1415926*(A137+J137)))*180/3.1415926</f>
        <v>26.081395677080412</v>
      </c>
      <c r="M137" s="73">
        <f t="shared" ref="M137:M168" si="70">I137/(3.1415926*(A137+J137))</f>
        <v>0.48949236408062485</v>
      </c>
      <c r="N137" s="73">
        <f t="shared" ref="N137:N168" si="71">COS(L137*3.1415926/180)</f>
        <v>0.89817038302211361</v>
      </c>
      <c r="O137" s="74">
        <f t="shared" ref="O137:O168" si="72">(D137-I137*N137)/D137*100</f>
        <v>10.182961697788642</v>
      </c>
      <c r="P137" s="75">
        <f t="shared" ref="P137:P168" si="73">100/(100-O137)</f>
        <v>1.1133744987618672</v>
      </c>
      <c r="Q137" s="37">
        <f t="shared" ref="Q137:Q168" si="74">P137*C137</f>
        <v>2.2267489975237344E-2</v>
      </c>
      <c r="R137" s="43">
        <f t="shared" ref="R137:R168" si="75">A137+2*Q137</f>
        <v>65.04453497995047</v>
      </c>
      <c r="S137" s="76">
        <f t="shared" ref="S137:S168" si="76">SIN(L137*3.1415926/180)</f>
        <v>0.43964754413269475</v>
      </c>
      <c r="T137">
        <v>278</v>
      </c>
      <c r="U137" s="44">
        <f t="shared" ref="U137:U168" si="77">T137/S137</f>
        <v>632.32469670317062</v>
      </c>
      <c r="V137">
        <v>41.5</v>
      </c>
      <c r="W137" s="77">
        <f t="shared" ref="W137:W168" si="78">2*SQRT((1000*U137*C137/3.1415926)+(V137*V137))</f>
        <v>151.62788811354488</v>
      </c>
      <c r="X137">
        <v>1.44</v>
      </c>
      <c r="Y137" s="47">
        <f t="shared" ref="Y137:Y168" si="79">3.14*(A137+Q137)*Q137*X137*P137</f>
        <v>7.2889804569330039</v>
      </c>
      <c r="Z137">
        <v>65</v>
      </c>
    </row>
    <row r="138" spans="1:26" ht="15" customHeight="1" thickBot="1">
      <c r="A138">
        <v>65.5</v>
      </c>
      <c r="B138" t="s">
        <v>167</v>
      </c>
      <c r="C138">
        <v>0.02</v>
      </c>
      <c r="D138">
        <v>100</v>
      </c>
      <c r="E138" s="37">
        <f t="shared" si="64"/>
        <v>65.528571428571425</v>
      </c>
      <c r="F138">
        <v>30</v>
      </c>
      <c r="G138" s="71">
        <f t="shared" si="65"/>
        <v>1.4285714285714286</v>
      </c>
      <c r="H138" s="39">
        <f t="shared" si="66"/>
        <v>100</v>
      </c>
      <c r="I138">
        <v>100</v>
      </c>
      <c r="J138" s="71">
        <f t="shared" si="67"/>
        <v>2.8571428571428574E-2</v>
      </c>
      <c r="K138" s="71">
        <f t="shared" si="68"/>
        <v>65.557142857142864</v>
      </c>
      <c r="L138" s="72">
        <f t="shared" si="69"/>
        <v>25.908507617182302</v>
      </c>
      <c r="M138" s="73">
        <f t="shared" si="70"/>
        <v>0.48575741035426301</v>
      </c>
      <c r="N138" s="73">
        <f t="shared" si="71"/>
        <v>0.89949291348861349</v>
      </c>
      <c r="O138" s="74">
        <f t="shared" si="72"/>
        <v>10.050708651138649</v>
      </c>
      <c r="P138" s="75">
        <f t="shared" si="73"/>
        <v>1.1117374967653471</v>
      </c>
      <c r="Q138" s="37">
        <f t="shared" si="74"/>
        <v>2.2234749935306941E-2</v>
      </c>
      <c r="R138" s="43">
        <f t="shared" si="75"/>
        <v>65.544469499870615</v>
      </c>
      <c r="S138" s="76">
        <f t="shared" si="76"/>
        <v>0.4369353482882401</v>
      </c>
      <c r="T138">
        <v>279</v>
      </c>
      <c r="U138" s="44">
        <f t="shared" si="77"/>
        <v>638.53840412094019</v>
      </c>
      <c r="V138">
        <v>41.5</v>
      </c>
      <c r="W138" s="77">
        <f t="shared" si="78"/>
        <v>152.14876672700038</v>
      </c>
      <c r="X138">
        <v>1.44</v>
      </c>
      <c r="Y138" s="47">
        <f t="shared" si="79"/>
        <v>7.3234436603388851</v>
      </c>
      <c r="Z138">
        <v>65.5</v>
      </c>
    </row>
    <row r="139" spans="1:26" ht="15" customHeight="1" thickBot="1">
      <c r="A139">
        <v>66</v>
      </c>
      <c r="B139" t="s">
        <v>167</v>
      </c>
      <c r="C139">
        <v>0.02</v>
      </c>
      <c r="D139">
        <v>100</v>
      </c>
      <c r="E139" s="37">
        <f t="shared" si="64"/>
        <v>66.028571428571425</v>
      </c>
      <c r="F139">
        <v>30</v>
      </c>
      <c r="G139" s="71">
        <f t="shared" si="65"/>
        <v>1.4285714285714286</v>
      </c>
      <c r="H139" s="39">
        <f t="shared" si="66"/>
        <v>100</v>
      </c>
      <c r="I139">
        <v>100</v>
      </c>
      <c r="J139" s="71">
        <f t="shared" si="67"/>
        <v>2.8571428571428574E-2</v>
      </c>
      <c r="K139" s="71">
        <f t="shared" si="68"/>
        <v>66.057142857142864</v>
      </c>
      <c r="L139" s="72">
        <f t="shared" si="69"/>
        <v>25.737741112355618</v>
      </c>
      <c r="M139" s="73">
        <f t="shared" si="70"/>
        <v>0.48207902234855138</v>
      </c>
      <c r="N139" s="73">
        <f t="shared" si="71"/>
        <v>0.90079117505086925</v>
      </c>
      <c r="O139" s="74">
        <f t="shared" si="72"/>
        <v>9.9208824949130729</v>
      </c>
      <c r="P139" s="75">
        <f t="shared" si="73"/>
        <v>1.1101352096877817</v>
      </c>
      <c r="Q139" s="37">
        <f t="shared" si="74"/>
        <v>2.2202704193755633E-2</v>
      </c>
      <c r="R139" s="43">
        <f t="shared" si="75"/>
        <v>66.044405408387505</v>
      </c>
      <c r="S139" s="76">
        <f t="shared" si="76"/>
        <v>0.43425252900872591</v>
      </c>
      <c r="T139">
        <v>280</v>
      </c>
      <c r="U139" s="44">
        <f t="shared" si="77"/>
        <v>644.78611244742729</v>
      </c>
      <c r="V139">
        <v>41.5</v>
      </c>
      <c r="W139" s="77">
        <f t="shared" si="78"/>
        <v>152.6707038215458</v>
      </c>
      <c r="X139">
        <v>1.44</v>
      </c>
      <c r="Y139" s="47">
        <f t="shared" si="79"/>
        <v>7.3580697419001124</v>
      </c>
      <c r="Z139">
        <v>66</v>
      </c>
    </row>
    <row r="140" spans="1:26" ht="15" customHeight="1" thickBot="1">
      <c r="A140">
        <v>66.5</v>
      </c>
      <c r="B140" t="s">
        <v>167</v>
      </c>
      <c r="C140">
        <v>0.02</v>
      </c>
      <c r="D140">
        <v>100</v>
      </c>
      <c r="E140" s="37">
        <f t="shared" si="64"/>
        <v>66.528571428571425</v>
      </c>
      <c r="F140">
        <v>30</v>
      </c>
      <c r="G140" s="71">
        <f t="shared" si="65"/>
        <v>1.4285714285714286</v>
      </c>
      <c r="H140" s="39">
        <f t="shared" si="66"/>
        <v>100</v>
      </c>
      <c r="I140">
        <v>100</v>
      </c>
      <c r="J140" s="71">
        <f t="shared" si="67"/>
        <v>2.8571428571428574E-2</v>
      </c>
      <c r="K140" s="71">
        <f t="shared" si="68"/>
        <v>66.557142857142864</v>
      </c>
      <c r="L140" s="72">
        <f t="shared" si="69"/>
        <v>25.569060328235636</v>
      </c>
      <c r="M140" s="73">
        <f t="shared" si="70"/>
        <v>0.4784559246929363</v>
      </c>
      <c r="N140" s="73">
        <f t="shared" si="71"/>
        <v>0.90206572412606167</v>
      </c>
      <c r="O140" s="74">
        <f t="shared" si="72"/>
        <v>9.7934275873938361</v>
      </c>
      <c r="P140" s="75">
        <f t="shared" si="73"/>
        <v>1.1085666745278666</v>
      </c>
      <c r="Q140" s="37">
        <f t="shared" si="74"/>
        <v>2.2171333490557332E-2</v>
      </c>
      <c r="R140" s="43">
        <f t="shared" si="75"/>
        <v>66.544342666981109</v>
      </c>
      <c r="S140" s="76">
        <f t="shared" si="76"/>
        <v>0.43159869017053792</v>
      </c>
      <c r="T140">
        <v>281</v>
      </c>
      <c r="U140" s="44">
        <f t="shared" si="77"/>
        <v>651.06777754345887</v>
      </c>
      <c r="V140">
        <v>41.5</v>
      </c>
      <c r="W140" s="77">
        <f t="shared" si="78"/>
        <v>153.19368490977627</v>
      </c>
      <c r="X140">
        <v>1.44</v>
      </c>
      <c r="Y140" s="47">
        <f t="shared" si="79"/>
        <v>7.3928550283127237</v>
      </c>
      <c r="Z140">
        <v>66.5</v>
      </c>
    </row>
    <row r="141" spans="1:26" ht="15" customHeight="1" thickBot="1">
      <c r="A141">
        <v>67</v>
      </c>
      <c r="B141" t="s">
        <v>167</v>
      </c>
      <c r="C141">
        <v>0.02</v>
      </c>
      <c r="D141">
        <v>100</v>
      </c>
      <c r="E141" s="37">
        <f t="shared" si="64"/>
        <v>67.028571428571425</v>
      </c>
      <c r="F141">
        <v>30</v>
      </c>
      <c r="G141" s="71">
        <f t="shared" si="65"/>
        <v>1.4285714285714286</v>
      </c>
      <c r="H141" s="39">
        <f t="shared" si="66"/>
        <v>100</v>
      </c>
      <c r="I141">
        <v>100</v>
      </c>
      <c r="J141" s="71">
        <f t="shared" si="67"/>
        <v>2.8571428571428574E-2</v>
      </c>
      <c r="K141" s="71">
        <f t="shared" si="68"/>
        <v>67.057142857142864</v>
      </c>
      <c r="L141" s="72">
        <f t="shared" si="69"/>
        <v>25.402430155832008</v>
      </c>
      <c r="M141" s="73">
        <f t="shared" si="70"/>
        <v>0.47488688007139906</v>
      </c>
      <c r="N141" s="73">
        <f t="shared" si="71"/>
        <v>0.9033171023456551</v>
      </c>
      <c r="O141" s="74">
        <f t="shared" si="72"/>
        <v>9.6682897654344941</v>
      </c>
      <c r="P141" s="75">
        <f t="shared" si="73"/>
        <v>1.1070309611135305</v>
      </c>
      <c r="Q141" s="37">
        <f t="shared" si="74"/>
        <v>2.2140619222270612E-2</v>
      </c>
      <c r="R141" s="43">
        <f t="shared" si="75"/>
        <v>67.04428123844454</v>
      </c>
      <c r="S141" s="76">
        <f t="shared" si="76"/>
        <v>0.42897344044806474</v>
      </c>
      <c r="T141">
        <v>282</v>
      </c>
      <c r="U141" s="44">
        <f t="shared" si="77"/>
        <v>657.38335619438283</v>
      </c>
      <c r="V141">
        <v>41.5</v>
      </c>
      <c r="W141" s="77">
        <f t="shared" si="78"/>
        <v>153.71769575655244</v>
      </c>
      <c r="X141">
        <v>1.44</v>
      </c>
      <c r="Y141" s="47">
        <f t="shared" si="79"/>
        <v>7.4277959559158013</v>
      </c>
      <c r="Z141">
        <v>67</v>
      </c>
    </row>
    <row r="142" spans="1:26" ht="15" customHeight="1" thickBot="1">
      <c r="A142">
        <v>67.5</v>
      </c>
      <c r="B142" t="s">
        <v>167</v>
      </c>
      <c r="C142">
        <v>0.02</v>
      </c>
      <c r="D142">
        <v>100</v>
      </c>
      <c r="E142" s="37">
        <f t="shared" si="64"/>
        <v>67.528571428571425</v>
      </c>
      <c r="F142">
        <v>30</v>
      </c>
      <c r="G142" s="71">
        <f t="shared" si="65"/>
        <v>1.4285714285714286</v>
      </c>
      <c r="H142" s="39">
        <f t="shared" si="66"/>
        <v>100</v>
      </c>
      <c r="I142">
        <v>100</v>
      </c>
      <c r="J142" s="71">
        <f t="shared" si="67"/>
        <v>2.8571428571428574E-2</v>
      </c>
      <c r="K142" s="71">
        <f t="shared" si="68"/>
        <v>67.557142857142864</v>
      </c>
      <c r="L142" s="72">
        <f t="shared" si="69"/>
        <v>25.237816195827481</v>
      </c>
      <c r="M142" s="73">
        <f t="shared" si="70"/>
        <v>0.47137068781362479</v>
      </c>
      <c r="N142" s="73">
        <f t="shared" si="71"/>
        <v>0.90454583698350688</v>
      </c>
      <c r="O142" s="74">
        <f t="shared" si="72"/>
        <v>9.5454163016493112</v>
      </c>
      <c r="P142" s="75">
        <f t="shared" si="73"/>
        <v>1.1055271707786696</v>
      </c>
      <c r="Q142" s="37">
        <f t="shared" si="74"/>
        <v>2.2110543415573392E-2</v>
      </c>
      <c r="R142" s="43">
        <f t="shared" si="75"/>
        <v>67.544221086831143</v>
      </c>
      <c r="S142" s="76">
        <f t="shared" si="76"/>
        <v>0.42637639333786653</v>
      </c>
      <c r="T142">
        <v>283</v>
      </c>
      <c r="U142" s="44">
        <f t="shared" si="77"/>
        <v>663.73280608841515</v>
      </c>
      <c r="V142">
        <v>41.5</v>
      </c>
      <c r="W142" s="77">
        <f t="shared" si="78"/>
        <v>154.24272237389366</v>
      </c>
      <c r="X142">
        <v>1.44</v>
      </c>
      <c r="Y142" s="47">
        <f t="shared" si="79"/>
        <v>7.4628890666304786</v>
      </c>
      <c r="Z142">
        <v>67.5</v>
      </c>
    </row>
    <row r="143" spans="1:26" ht="15" customHeight="1" thickBot="1">
      <c r="A143">
        <v>68</v>
      </c>
      <c r="B143" t="s">
        <v>167</v>
      </c>
      <c r="C143">
        <v>0.02</v>
      </c>
      <c r="D143">
        <v>100</v>
      </c>
      <c r="E143" s="37">
        <f t="shared" si="64"/>
        <v>68.028571428571425</v>
      </c>
      <c r="F143">
        <v>30</v>
      </c>
      <c r="G143" s="71">
        <f t="shared" si="65"/>
        <v>1.4285714285714286</v>
      </c>
      <c r="H143" s="39">
        <f t="shared" si="66"/>
        <v>100</v>
      </c>
      <c r="I143">
        <v>100</v>
      </c>
      <c r="J143" s="71">
        <f t="shared" si="67"/>
        <v>2.8571428571428574E-2</v>
      </c>
      <c r="K143" s="71">
        <f t="shared" si="68"/>
        <v>68.057142857142864</v>
      </c>
      <c r="L143" s="72">
        <f t="shared" si="69"/>
        <v>25.07518474317536</v>
      </c>
      <c r="M143" s="73">
        <f t="shared" si="70"/>
        <v>0.46790618254829996</v>
      </c>
      <c r="N143" s="73">
        <f t="shared" si="71"/>
        <v>0.90575244137144162</v>
      </c>
      <c r="O143" s="74">
        <f t="shared" si="72"/>
        <v>9.4247558628558323</v>
      </c>
      <c r="P143" s="75">
        <f t="shared" si="73"/>
        <v>1.1040544351013326</v>
      </c>
      <c r="Q143" s="37">
        <f t="shared" si="74"/>
        <v>2.2081088702026654E-2</v>
      </c>
      <c r="R143" s="43">
        <f t="shared" si="75"/>
        <v>68.044162177404047</v>
      </c>
      <c r="S143" s="76">
        <f t="shared" si="76"/>
        <v>0.4238071671759141</v>
      </c>
      <c r="T143">
        <v>284</v>
      </c>
      <c r="U143" s="44">
        <f t="shared" si="77"/>
        <v>670.11608579549375</v>
      </c>
      <c r="V143">
        <v>41.5</v>
      </c>
      <c r="W143" s="77">
        <f t="shared" si="78"/>
        <v>154.76875101597861</v>
      </c>
      <c r="X143">
        <v>1.44</v>
      </c>
      <c r="Y143" s="47">
        <f t="shared" si="79"/>
        <v>7.4981310040780826</v>
      </c>
      <c r="Z143">
        <v>68</v>
      </c>
    </row>
    <row r="144" spans="1:26" ht="15" customHeight="1" thickBot="1">
      <c r="A144">
        <v>68.5</v>
      </c>
      <c r="B144" t="s">
        <v>167</v>
      </c>
      <c r="C144">
        <v>0.02</v>
      </c>
      <c r="D144">
        <v>100</v>
      </c>
      <c r="E144" s="37">
        <f t="shared" si="64"/>
        <v>68.528571428571425</v>
      </c>
      <c r="F144">
        <v>30</v>
      </c>
      <c r="G144" s="71">
        <f t="shared" si="65"/>
        <v>1.4285714285714286</v>
      </c>
      <c r="H144" s="39">
        <f t="shared" si="66"/>
        <v>100</v>
      </c>
      <c r="I144">
        <v>100</v>
      </c>
      <c r="J144" s="71">
        <f t="shared" si="67"/>
        <v>2.8571428571428574E-2</v>
      </c>
      <c r="K144" s="71">
        <f t="shared" si="68"/>
        <v>68.557142857142864</v>
      </c>
      <c r="L144" s="72">
        <f t="shared" si="69"/>
        <v>24.914502771994758</v>
      </c>
      <c r="M144" s="73">
        <f t="shared" si="70"/>
        <v>0.46449223291536468</v>
      </c>
      <c r="N144" s="73">
        <f t="shared" si="71"/>
        <v>0.90693741530260652</v>
      </c>
      <c r="O144" s="74">
        <f t="shared" si="72"/>
        <v>9.3062584697393476</v>
      </c>
      <c r="P144" s="75">
        <f t="shared" si="73"/>
        <v>1.1026119147001368</v>
      </c>
      <c r="Q144" s="37">
        <f t="shared" si="74"/>
        <v>2.2052238294002737E-2</v>
      </c>
      <c r="R144" s="43">
        <f t="shared" si="75"/>
        <v>68.544104476588004</v>
      </c>
      <c r="S144" s="76">
        <f t="shared" si="76"/>
        <v>0.42126538514839723</v>
      </c>
      <c r="T144">
        <v>285</v>
      </c>
      <c r="U144" s="44">
        <f t="shared" si="77"/>
        <v>676.53315474663168</v>
      </c>
      <c r="V144">
        <v>41.5</v>
      </c>
      <c r="W144" s="77">
        <f t="shared" si="78"/>
        <v>155.29576817425215</v>
      </c>
      <c r="X144">
        <v>1.44</v>
      </c>
      <c r="Y144" s="47">
        <f t="shared" si="79"/>
        <v>7.5335185098683652</v>
      </c>
      <c r="Z144">
        <v>68.5</v>
      </c>
    </row>
    <row r="145" spans="1:26" ht="15" customHeight="1" thickBot="1">
      <c r="A145">
        <v>69</v>
      </c>
      <c r="B145" t="s">
        <v>167</v>
      </c>
      <c r="C145">
        <v>0.02</v>
      </c>
      <c r="D145">
        <v>100</v>
      </c>
      <c r="E145" s="37">
        <f t="shared" si="64"/>
        <v>69.028571428571425</v>
      </c>
      <c r="F145">
        <v>30</v>
      </c>
      <c r="G145" s="71">
        <f t="shared" si="65"/>
        <v>1.4285714285714286</v>
      </c>
      <c r="H145" s="39">
        <f t="shared" si="66"/>
        <v>100</v>
      </c>
      <c r="I145">
        <v>100</v>
      </c>
      <c r="J145" s="71">
        <f t="shared" si="67"/>
        <v>2.8571428571428574E-2</v>
      </c>
      <c r="K145" s="71">
        <f t="shared" si="68"/>
        <v>69.057142857142864</v>
      </c>
      <c r="L145" s="72">
        <f t="shared" si="69"/>
        <v>24.755737920762606</v>
      </c>
      <c r="M145" s="73">
        <f t="shared" si="70"/>
        <v>0.46112774033423104</v>
      </c>
      <c r="N145" s="73">
        <f t="shared" si="71"/>
        <v>0.90810124542292292</v>
      </c>
      <c r="O145" s="74">
        <f t="shared" si="72"/>
        <v>9.1898754577077142</v>
      </c>
      <c r="P145" s="75">
        <f t="shared" si="73"/>
        <v>1.1011987980858653</v>
      </c>
      <c r="Q145" s="37">
        <f t="shared" si="74"/>
        <v>2.2023975961717308E-2</v>
      </c>
      <c r="R145" s="43">
        <f t="shared" si="75"/>
        <v>69.044047951923432</v>
      </c>
      <c r="S145" s="76">
        <f t="shared" si="76"/>
        <v>0.41875067529657345</v>
      </c>
      <c r="T145">
        <v>286</v>
      </c>
      <c r="U145" s="44">
        <f t="shared" si="77"/>
        <v>682.98397321376274</v>
      </c>
      <c r="V145">
        <v>41.5</v>
      </c>
      <c r="W145" s="77">
        <f t="shared" si="78"/>
        <v>155.82376057263659</v>
      </c>
      <c r="X145">
        <v>1.44</v>
      </c>
      <c r="Y145" s="47">
        <f t="shared" si="79"/>
        <v>7.5690484200490724</v>
      </c>
      <c r="Z145">
        <v>69</v>
      </c>
    </row>
    <row r="146" spans="1:26" ht="15" customHeight="1" thickBot="1">
      <c r="A146">
        <v>69.5</v>
      </c>
      <c r="B146" t="s">
        <v>167</v>
      </c>
      <c r="C146">
        <v>0.02</v>
      </c>
      <c r="D146">
        <v>100</v>
      </c>
      <c r="E146" s="37">
        <f t="shared" si="64"/>
        <v>69.528571428571425</v>
      </c>
      <c r="F146">
        <v>30</v>
      </c>
      <c r="G146" s="71">
        <f t="shared" si="65"/>
        <v>1.4285714285714286</v>
      </c>
      <c r="H146" s="39">
        <f t="shared" si="66"/>
        <v>100</v>
      </c>
      <c r="I146">
        <v>100</v>
      </c>
      <c r="J146" s="71">
        <f t="shared" si="67"/>
        <v>2.8571428571428574E-2</v>
      </c>
      <c r="K146" s="71">
        <f t="shared" si="68"/>
        <v>69.557142857142864</v>
      </c>
      <c r="L146" s="72">
        <f t="shared" si="69"/>
        <v>24.598858477800704</v>
      </c>
      <c r="M146" s="73">
        <f t="shared" si="70"/>
        <v>0.45781163782514989</v>
      </c>
      <c r="N146" s="73">
        <f t="shared" si="71"/>
        <v>0.90924440561094622</v>
      </c>
      <c r="O146" s="74">
        <f t="shared" si="72"/>
        <v>9.0755594389053726</v>
      </c>
      <c r="P146" s="75">
        <f t="shared" si="73"/>
        <v>1.0998143005653938</v>
      </c>
      <c r="Q146" s="37">
        <f t="shared" si="74"/>
        <v>2.1996286011307875E-2</v>
      </c>
      <c r="R146" s="43">
        <f t="shared" si="75"/>
        <v>69.543992572022617</v>
      </c>
      <c r="S146" s="76">
        <f t="shared" si="76"/>
        <v>0.41626267051610222</v>
      </c>
      <c r="T146">
        <v>287</v>
      </c>
      <c r="U146" s="44">
        <f t="shared" si="77"/>
        <v>689.46850229006554</v>
      </c>
      <c r="V146">
        <v>41.5</v>
      </c>
      <c r="W146" s="77">
        <f t="shared" si="78"/>
        <v>156.35271516284521</v>
      </c>
      <c r="X146">
        <v>1.44</v>
      </c>
      <c r="Y146" s="47">
        <f t="shared" si="79"/>
        <v>7.6047176617088699</v>
      </c>
      <c r="Z146">
        <v>69.5</v>
      </c>
    </row>
    <row r="147" spans="1:26" ht="15" customHeight="1" thickBot="1">
      <c r="A147">
        <v>70</v>
      </c>
      <c r="B147" t="s">
        <v>167</v>
      </c>
      <c r="C147">
        <v>0.02</v>
      </c>
      <c r="D147">
        <v>100</v>
      </c>
      <c r="E147" s="37">
        <f t="shared" si="64"/>
        <v>70.028571428571425</v>
      </c>
      <c r="F147">
        <v>30</v>
      </c>
      <c r="G147" s="71">
        <f t="shared" si="65"/>
        <v>1.4285714285714286</v>
      </c>
      <c r="H147" s="39">
        <f t="shared" si="66"/>
        <v>100</v>
      </c>
      <c r="I147">
        <v>100</v>
      </c>
      <c r="J147" s="71">
        <f t="shared" si="67"/>
        <v>2.8571428571428574E-2</v>
      </c>
      <c r="K147" s="71">
        <f t="shared" si="68"/>
        <v>70.057142857142864</v>
      </c>
      <c r="L147" s="72">
        <f t="shared" si="69"/>
        <v>24.443833367055706</v>
      </c>
      <c r="M147" s="73">
        <f t="shared" si="70"/>
        <v>0.45454288888106981</v>
      </c>
      <c r="N147" s="73">
        <f t="shared" si="71"/>
        <v>0.91036735734644281</v>
      </c>
      <c r="O147" s="74">
        <f t="shared" si="72"/>
        <v>8.9632642653557184</v>
      </c>
      <c r="P147" s="75">
        <f t="shared" si="73"/>
        <v>1.0984576631952405</v>
      </c>
      <c r="Q147" s="37">
        <f t="shared" si="74"/>
        <v>2.1969153263904809E-2</v>
      </c>
      <c r="R147" s="43">
        <f t="shared" si="75"/>
        <v>70.043938306527807</v>
      </c>
      <c r="S147" s="76">
        <f t="shared" si="76"/>
        <v>0.41380100855127722</v>
      </c>
      <c r="T147">
        <v>288</v>
      </c>
      <c r="U147" s="44">
        <f t="shared" si="77"/>
        <v>695.98670387076095</v>
      </c>
      <c r="V147">
        <v>41.5</v>
      </c>
      <c r="W147" s="77">
        <f t="shared" si="78"/>
        <v>156.88261911979649</v>
      </c>
      <c r="X147">
        <v>1.44</v>
      </c>
      <c r="Y147" s="47">
        <f t="shared" si="79"/>
        <v>7.640523249725824</v>
      </c>
      <c r="Z147">
        <v>70</v>
      </c>
    </row>
    <row r="148" spans="1:26" ht="15" customHeight="1" thickBot="1">
      <c r="A148">
        <v>70.5</v>
      </c>
      <c r="B148" t="s">
        <v>167</v>
      </c>
      <c r="C148">
        <v>0.02</v>
      </c>
      <c r="D148">
        <v>100</v>
      </c>
      <c r="E148" s="37">
        <f t="shared" si="64"/>
        <v>70.528571428571425</v>
      </c>
      <c r="F148">
        <v>30</v>
      </c>
      <c r="G148" s="71">
        <f t="shared" si="65"/>
        <v>1.4285714285714286</v>
      </c>
      <c r="H148" s="39">
        <f t="shared" si="66"/>
        <v>100</v>
      </c>
      <c r="I148">
        <v>100</v>
      </c>
      <c r="J148" s="71">
        <f t="shared" si="67"/>
        <v>2.8571428571428574E-2</v>
      </c>
      <c r="K148" s="71">
        <f t="shared" si="68"/>
        <v>70.557142857142864</v>
      </c>
      <c r="L148" s="72">
        <f t="shared" si="69"/>
        <v>24.290632134169829</v>
      </c>
      <c r="M148" s="73">
        <f t="shared" si="70"/>
        <v>0.45132048638748318</v>
      </c>
      <c r="N148" s="73">
        <f t="shared" si="71"/>
        <v>0.91147055006798772</v>
      </c>
      <c r="O148" s="74">
        <f t="shared" si="72"/>
        <v>8.8529449932012341</v>
      </c>
      <c r="P148" s="75">
        <f t="shared" si="73"/>
        <v>1.0971281517822038</v>
      </c>
      <c r="Q148" s="37">
        <f t="shared" si="74"/>
        <v>2.1942563035644076E-2</v>
      </c>
      <c r="R148" s="43">
        <f t="shared" si="75"/>
        <v>70.543885126071288</v>
      </c>
      <c r="S148" s="76">
        <f t="shared" si="76"/>
        <v>0.41136533198455105</v>
      </c>
      <c r="T148">
        <v>289</v>
      </c>
      <c r="U148" s="44">
        <f t="shared" si="77"/>
        <v>702.53854063437086</v>
      </c>
      <c r="V148">
        <v>41.5</v>
      </c>
      <c r="W148" s="77">
        <f t="shared" si="78"/>
        <v>157.41345983712668</v>
      </c>
      <c r="X148">
        <v>1.44</v>
      </c>
      <c r="Y148" s="47">
        <f t="shared" si="79"/>
        <v>7.6764622836542609</v>
      </c>
      <c r="Z148">
        <v>70.5</v>
      </c>
    </row>
    <row r="149" spans="1:26" ht="15" customHeight="1" thickBot="1">
      <c r="A149">
        <v>71</v>
      </c>
      <c r="B149" t="s">
        <v>167</v>
      </c>
      <c r="C149">
        <v>0.02</v>
      </c>
      <c r="D149">
        <v>100</v>
      </c>
      <c r="E149" s="37">
        <f t="shared" si="64"/>
        <v>71.028571428571425</v>
      </c>
      <c r="F149">
        <v>30</v>
      </c>
      <c r="G149" s="71">
        <f t="shared" si="65"/>
        <v>1.4285714285714286</v>
      </c>
      <c r="H149" s="39">
        <f t="shared" si="66"/>
        <v>100</v>
      </c>
      <c r="I149">
        <v>100</v>
      </c>
      <c r="J149" s="71">
        <f t="shared" si="67"/>
        <v>2.8571428571428574E-2</v>
      </c>
      <c r="K149" s="71">
        <f t="shared" si="68"/>
        <v>71.057142857142864</v>
      </c>
      <c r="L149" s="72">
        <f t="shared" si="69"/>
        <v>24.139224932839259</v>
      </c>
      <c r="M149" s="73">
        <f t="shared" si="70"/>
        <v>0.44814345158789304</v>
      </c>
      <c r="N149" s="73">
        <f t="shared" si="71"/>
        <v>0.91255442151988619</v>
      </c>
      <c r="O149" s="74">
        <f t="shared" si="72"/>
        <v>8.7445578480113824</v>
      </c>
      <c r="P149" s="75">
        <f t="shared" si="73"/>
        <v>1.0958250559286871</v>
      </c>
      <c r="Q149" s="37">
        <f t="shared" si="74"/>
        <v>2.1916501118573743E-2</v>
      </c>
      <c r="R149" s="43">
        <f t="shared" si="75"/>
        <v>71.04383300223715</v>
      </c>
      <c r="S149" s="76">
        <f t="shared" si="76"/>
        <v>0.40895528822171479</v>
      </c>
      <c r="T149">
        <v>290</v>
      </c>
      <c r="U149" s="44">
        <f t="shared" si="77"/>
        <v>709.12397602443207</v>
      </c>
      <c r="V149">
        <v>41.5</v>
      </c>
      <c r="W149" s="77">
        <f t="shared" si="78"/>
        <v>157.94522492279967</v>
      </c>
      <c r="X149">
        <v>1.44</v>
      </c>
      <c r="Y149" s="47">
        <f t="shared" si="79"/>
        <v>7.712531944743203</v>
      </c>
      <c r="Z149">
        <v>71</v>
      </c>
    </row>
    <row r="150" spans="1:26" ht="15" customHeight="1" thickBot="1">
      <c r="A150">
        <v>71.5</v>
      </c>
      <c r="B150" t="s">
        <v>167</v>
      </c>
      <c r="C150">
        <v>0.02</v>
      </c>
      <c r="D150">
        <v>100</v>
      </c>
      <c r="E150" s="37">
        <f t="shared" si="64"/>
        <v>71.528571428571425</v>
      </c>
      <c r="F150">
        <v>30</v>
      </c>
      <c r="G150" s="71">
        <f t="shared" si="65"/>
        <v>1.4285714285714286</v>
      </c>
      <c r="H150" s="39">
        <f t="shared" si="66"/>
        <v>100</v>
      </c>
      <c r="I150">
        <v>100</v>
      </c>
      <c r="J150" s="71">
        <f t="shared" si="67"/>
        <v>2.8571428571428574E-2</v>
      </c>
      <c r="K150" s="71">
        <f t="shared" si="68"/>
        <v>71.557142857142864</v>
      </c>
      <c r="L150" s="72">
        <f t="shared" si="69"/>
        <v>23.989582511457709</v>
      </c>
      <c r="M150" s="73">
        <f t="shared" si="70"/>
        <v>0.44501083309267114</v>
      </c>
      <c r="N150" s="73">
        <f t="shared" si="71"/>
        <v>0.91361939808871062</v>
      </c>
      <c r="O150" s="74">
        <f t="shared" si="72"/>
        <v>8.6380601911289432</v>
      </c>
      <c r="P150" s="75">
        <f t="shared" si="73"/>
        <v>1.0945476881204552</v>
      </c>
      <c r="Q150" s="37">
        <f t="shared" si="74"/>
        <v>2.1890953762409106E-2</v>
      </c>
      <c r="R150" s="43">
        <f t="shared" si="75"/>
        <v>71.543781907524817</v>
      </c>
      <c r="S150" s="76">
        <f t="shared" si="76"/>
        <v>0.40657052947308187</v>
      </c>
      <c r="T150">
        <v>291</v>
      </c>
      <c r="U150" s="44">
        <f t="shared" si="77"/>
        <v>715.74297423164921</v>
      </c>
      <c r="V150">
        <v>41.5</v>
      </c>
      <c r="W150" s="77">
        <f t="shared" si="78"/>
        <v>158.47790219481124</v>
      </c>
      <c r="X150">
        <v>1.44</v>
      </c>
      <c r="Y150" s="47">
        <f t="shared" si="79"/>
        <v>7.748729493079928</v>
      </c>
      <c r="Z150">
        <v>71.5</v>
      </c>
    </row>
    <row r="151" spans="1:26" ht="15" customHeight="1" thickBot="1">
      <c r="A151">
        <v>72</v>
      </c>
      <c r="B151" t="s">
        <v>167</v>
      </c>
      <c r="C151">
        <v>0.02</v>
      </c>
      <c r="D151">
        <v>100</v>
      </c>
      <c r="E151" s="37">
        <f t="shared" si="64"/>
        <v>72.028571428571425</v>
      </c>
      <c r="F151">
        <v>30</v>
      </c>
      <c r="G151" s="71">
        <f t="shared" si="65"/>
        <v>1.4285714285714286</v>
      </c>
      <c r="H151" s="39">
        <f t="shared" si="66"/>
        <v>100</v>
      </c>
      <c r="I151">
        <v>100</v>
      </c>
      <c r="J151" s="71">
        <f t="shared" si="67"/>
        <v>2.8571428571428574E-2</v>
      </c>
      <c r="K151" s="71">
        <f t="shared" si="68"/>
        <v>72.057142857142864</v>
      </c>
      <c r="L151" s="72">
        <f t="shared" si="69"/>
        <v>23.841676200041384</v>
      </c>
      <c r="M151" s="73">
        <f t="shared" si="70"/>
        <v>0.44192170592919561</v>
      </c>
      <c r="N151" s="73">
        <f t="shared" si="71"/>
        <v>0.91466589512974783</v>
      </c>
      <c r="O151" s="74">
        <f t="shared" si="72"/>
        <v>8.5334104870252219</v>
      </c>
      <c r="P151" s="75">
        <f t="shared" si="73"/>
        <v>1.0932953828546841</v>
      </c>
      <c r="Q151" s="37">
        <f t="shared" si="74"/>
        <v>2.1865907657093682E-2</v>
      </c>
      <c r="R151" s="43">
        <f t="shared" si="75"/>
        <v>72.043731815314189</v>
      </c>
      <c r="S151" s="76">
        <f t="shared" si="76"/>
        <v>0.40421071273099285</v>
      </c>
      <c r="T151">
        <v>292</v>
      </c>
      <c r="U151" s="44">
        <f t="shared" si="77"/>
        <v>722.3955001764873</v>
      </c>
      <c r="V151">
        <v>41.5</v>
      </c>
      <c r="W151" s="77">
        <f t="shared" si="78"/>
        <v>159.0114796769868</v>
      </c>
      <c r="X151">
        <v>1.44</v>
      </c>
      <c r="Y151" s="47">
        <f t="shared" si="79"/>
        <v>7.7850522648525127</v>
      </c>
      <c r="Z151">
        <v>72</v>
      </c>
    </row>
    <row r="152" spans="1:26" ht="15" customHeight="1" thickBot="1">
      <c r="A152">
        <v>72.5</v>
      </c>
      <c r="B152" t="s">
        <v>167</v>
      </c>
      <c r="C152">
        <v>0.02</v>
      </c>
      <c r="D152">
        <v>100</v>
      </c>
      <c r="E152" s="37">
        <f t="shared" si="64"/>
        <v>72.528571428571425</v>
      </c>
      <c r="F152">
        <v>30</v>
      </c>
      <c r="G152" s="71">
        <f t="shared" si="65"/>
        <v>1.4285714285714286</v>
      </c>
      <c r="H152" s="39">
        <f t="shared" si="66"/>
        <v>100</v>
      </c>
      <c r="I152">
        <v>100</v>
      </c>
      <c r="J152" s="71">
        <f t="shared" si="67"/>
        <v>2.8571428571428574E-2</v>
      </c>
      <c r="K152" s="71">
        <f t="shared" si="68"/>
        <v>72.557142857142864</v>
      </c>
      <c r="L152" s="72">
        <f t="shared" si="69"/>
        <v>23.695477897432387</v>
      </c>
      <c r="M152" s="73">
        <f t="shared" si="70"/>
        <v>0.43887517063127918</v>
      </c>
      <c r="N152" s="73">
        <f t="shared" si="71"/>
        <v>0.91569431728363937</v>
      </c>
      <c r="O152" s="74">
        <f t="shared" si="72"/>
        <v>8.4305682716360621</v>
      </c>
      <c r="P152" s="75">
        <f t="shared" si="73"/>
        <v>1.0920674958062961</v>
      </c>
      <c r="Q152" s="37">
        <f t="shared" si="74"/>
        <v>2.1841349916125925E-2</v>
      </c>
      <c r="R152" s="43">
        <f t="shared" si="75"/>
        <v>72.543682699832246</v>
      </c>
      <c r="S152" s="76">
        <f t="shared" si="76"/>
        <v>0.40187549974394993</v>
      </c>
      <c r="T152">
        <v>293</v>
      </c>
      <c r="U152" s="44">
        <f t="shared" si="77"/>
        <v>729.0815194921845</v>
      </c>
      <c r="V152">
        <v>41.5</v>
      </c>
      <c r="W152" s="77">
        <f t="shared" si="78"/>
        <v>159.54594559487012</v>
      </c>
      <c r="X152">
        <v>1.44</v>
      </c>
      <c r="Y152" s="47">
        <f t="shared" si="79"/>
        <v>7.8214976697257317</v>
      </c>
      <c r="Z152">
        <v>72.5</v>
      </c>
    </row>
    <row r="153" spans="1:26" ht="15" customHeight="1" thickBot="1">
      <c r="A153">
        <v>73</v>
      </c>
      <c r="B153" t="s">
        <v>167</v>
      </c>
      <c r="C153">
        <v>0.02</v>
      </c>
      <c r="D153">
        <v>100</v>
      </c>
      <c r="E153" s="37">
        <f t="shared" si="64"/>
        <v>73.028571428571425</v>
      </c>
      <c r="F153">
        <v>30</v>
      </c>
      <c r="G153" s="71">
        <f t="shared" si="65"/>
        <v>1.4285714285714286</v>
      </c>
      <c r="H153" s="39">
        <f t="shared" si="66"/>
        <v>100</v>
      </c>
      <c r="I153">
        <v>100</v>
      </c>
      <c r="J153" s="71">
        <f t="shared" si="67"/>
        <v>2.8571428571428574E-2</v>
      </c>
      <c r="K153" s="71">
        <f t="shared" si="68"/>
        <v>73.057142857142864</v>
      </c>
      <c r="L153" s="72">
        <f t="shared" si="69"/>
        <v>23.550960058776507</v>
      </c>
      <c r="M153" s="73">
        <f t="shared" si="70"/>
        <v>0.43587035236600241</v>
      </c>
      <c r="N153" s="73">
        <f t="shared" si="71"/>
        <v>0.91670505878349717</v>
      </c>
      <c r="O153" s="74">
        <f t="shared" si="72"/>
        <v>8.3294941216502849</v>
      </c>
      <c r="P153" s="75">
        <f t="shared" si="73"/>
        <v>1.0908634030306743</v>
      </c>
      <c r="Q153" s="37">
        <f t="shared" si="74"/>
        <v>2.1817268060613487E-2</v>
      </c>
      <c r="R153" s="43">
        <f t="shared" si="75"/>
        <v>73.043634536121232</v>
      </c>
      <c r="S153" s="76">
        <f t="shared" si="76"/>
        <v>0.39956455698765991</v>
      </c>
      <c r="T153">
        <v>294</v>
      </c>
      <c r="U153" s="44">
        <f t="shared" si="77"/>
        <v>735.80099850818317</v>
      </c>
      <c r="V153">
        <v>41.5</v>
      </c>
      <c r="W153" s="77">
        <f t="shared" si="78"/>
        <v>160.08128837170142</v>
      </c>
      <c r="X153">
        <v>1.44</v>
      </c>
      <c r="Y153" s="47">
        <f t="shared" si="79"/>
        <v>7.8580631883247172</v>
      </c>
      <c r="Z153">
        <v>73</v>
      </c>
    </row>
    <row r="154" spans="1:26" ht="15" customHeight="1" thickBot="1">
      <c r="A154">
        <v>73.5</v>
      </c>
      <c r="B154" t="s">
        <v>167</v>
      </c>
      <c r="C154">
        <v>0.02</v>
      </c>
      <c r="D154">
        <v>100</v>
      </c>
      <c r="E154" s="37">
        <f t="shared" si="64"/>
        <v>73.528571428571425</v>
      </c>
      <c r="F154">
        <v>30</v>
      </c>
      <c r="G154" s="71">
        <f t="shared" si="65"/>
        <v>1.4285714285714286</v>
      </c>
      <c r="H154" s="39">
        <f t="shared" si="66"/>
        <v>100</v>
      </c>
      <c r="I154">
        <v>100</v>
      </c>
      <c r="J154" s="71">
        <f t="shared" si="67"/>
        <v>2.8571428571428574E-2</v>
      </c>
      <c r="K154" s="71">
        <f t="shared" si="68"/>
        <v>73.557142857142864</v>
      </c>
      <c r="L154" s="72">
        <f t="shared" si="69"/>
        <v>23.408095683271867</v>
      </c>
      <c r="M154" s="73">
        <f t="shared" si="70"/>
        <v>0.43290640009617337</v>
      </c>
      <c r="N154" s="73">
        <f t="shared" si="71"/>
        <v>0.9176985037527664</v>
      </c>
      <c r="O154" s="74">
        <f t="shared" si="72"/>
        <v>8.230149624723353</v>
      </c>
      <c r="P154" s="75">
        <f t="shared" si="73"/>
        <v>1.0896825002009658</v>
      </c>
      <c r="Q154" s="37">
        <f t="shared" si="74"/>
        <v>2.1793650004019317E-2</v>
      </c>
      <c r="R154" s="43">
        <f t="shared" si="75"/>
        <v>73.543587300008042</v>
      </c>
      <c r="S154" s="76">
        <f t="shared" si="76"/>
        <v>0.39727755563325473</v>
      </c>
      <c r="T154">
        <v>295</v>
      </c>
      <c r="U154" s="44">
        <f t="shared" si="77"/>
        <v>742.55390423396614</v>
      </c>
      <c r="V154">
        <v>41.5</v>
      </c>
      <c r="W154" s="77">
        <f t="shared" si="78"/>
        <v>160.61749662448324</v>
      </c>
      <c r="X154">
        <v>1.44</v>
      </c>
      <c r="Y154" s="47">
        <f t="shared" si="79"/>
        <v>7.8947463698214264</v>
      </c>
      <c r="Z154">
        <v>73.5</v>
      </c>
    </row>
    <row r="155" spans="1:26" ht="15" customHeight="1" thickBot="1">
      <c r="A155">
        <v>74</v>
      </c>
      <c r="B155" t="s">
        <v>167</v>
      </c>
      <c r="C155">
        <v>0.02</v>
      </c>
      <c r="D155">
        <v>100</v>
      </c>
      <c r="E155" s="37">
        <f t="shared" si="64"/>
        <v>74.028571428571425</v>
      </c>
      <c r="F155">
        <v>30</v>
      </c>
      <c r="G155" s="71">
        <f t="shared" si="65"/>
        <v>1.4285714285714286</v>
      </c>
      <c r="H155" s="39">
        <f t="shared" si="66"/>
        <v>100</v>
      </c>
      <c r="I155">
        <v>100</v>
      </c>
      <c r="J155" s="71">
        <f t="shared" si="67"/>
        <v>2.8571428571428574E-2</v>
      </c>
      <c r="K155" s="71">
        <f t="shared" si="68"/>
        <v>74.057142857142864</v>
      </c>
      <c r="L155" s="72">
        <f t="shared" si="69"/>
        <v>23.266858302184339</v>
      </c>
      <c r="M155" s="73">
        <f t="shared" si="70"/>
        <v>0.42998248577672799</v>
      </c>
      <c r="N155" s="73">
        <f t="shared" si="71"/>
        <v>0.91867502649410671</v>
      </c>
      <c r="O155" s="74">
        <f t="shared" si="72"/>
        <v>8.1324973505893325</v>
      </c>
      <c r="P155" s="75">
        <f t="shared" si="73"/>
        <v>1.0885242018782744</v>
      </c>
      <c r="Q155" s="37">
        <f t="shared" si="74"/>
        <v>2.1770484037565489E-2</v>
      </c>
      <c r="R155" s="43">
        <f t="shared" si="75"/>
        <v>74.043540968075135</v>
      </c>
      <c r="S155" s="76">
        <f t="shared" si="76"/>
        <v>0.39501417151293744</v>
      </c>
      <c r="T155">
        <v>296</v>
      </c>
      <c r="U155" s="44">
        <f t="shared" si="77"/>
        <v>749.34020434329011</v>
      </c>
      <c r="V155">
        <v>41.5</v>
      </c>
      <c r="W155" s="77">
        <f t="shared" si="78"/>
        <v>161.15455916013164</v>
      </c>
      <c r="X155">
        <v>1.44</v>
      </c>
      <c r="Y155" s="47">
        <f t="shared" si="79"/>
        <v>7.9315448296189164</v>
      </c>
      <c r="Z155">
        <v>74</v>
      </c>
    </row>
    <row r="156" spans="1:26" ht="15" customHeight="1" thickBot="1">
      <c r="A156">
        <v>74.5</v>
      </c>
      <c r="B156" t="s">
        <v>167</v>
      </c>
      <c r="C156">
        <v>0.02</v>
      </c>
      <c r="D156">
        <v>100</v>
      </c>
      <c r="E156" s="37">
        <f t="shared" si="64"/>
        <v>74.528571428571425</v>
      </c>
      <c r="F156">
        <v>30</v>
      </c>
      <c r="G156" s="71">
        <f t="shared" si="65"/>
        <v>1.4285714285714286</v>
      </c>
      <c r="H156" s="39">
        <f t="shared" si="66"/>
        <v>100</v>
      </c>
      <c r="I156">
        <v>100</v>
      </c>
      <c r="J156" s="71">
        <f t="shared" si="67"/>
        <v>2.8571428571428574E-2</v>
      </c>
      <c r="K156" s="71">
        <f t="shared" si="68"/>
        <v>74.557142857142864</v>
      </c>
      <c r="L156" s="72">
        <f t="shared" si="69"/>
        <v>23.127221967125667</v>
      </c>
      <c r="M156" s="73">
        <f t="shared" si="70"/>
        <v>0.42709780358347793</v>
      </c>
      <c r="N156" s="73">
        <f t="shared" si="71"/>
        <v>0.91963499176955388</v>
      </c>
      <c r="O156" s="74">
        <f t="shared" si="72"/>
        <v>8.0365008230446051</v>
      </c>
      <c r="P156" s="75">
        <f t="shared" si="73"/>
        <v>1.0873879408131355</v>
      </c>
      <c r="Q156" s="37">
        <f t="shared" si="74"/>
        <v>2.1747758816262709E-2</v>
      </c>
      <c r="R156" s="43">
        <f t="shared" si="75"/>
        <v>74.543495517632522</v>
      </c>
      <c r="S156" s="76">
        <f t="shared" si="76"/>
        <v>0.39277408508328626</v>
      </c>
      <c r="T156">
        <v>297</v>
      </c>
      <c r="U156" s="44">
        <f t="shared" si="77"/>
        <v>756.15986715880774</v>
      </c>
      <c r="V156">
        <v>41.5</v>
      </c>
      <c r="W156" s="77">
        <f t="shared" si="78"/>
        <v>161.69246497171181</v>
      </c>
      <c r="X156">
        <v>1.44</v>
      </c>
      <c r="Y156" s="47">
        <f t="shared" si="79"/>
        <v>7.9684562471288416</v>
      </c>
      <c r="Z156">
        <v>74.5</v>
      </c>
    </row>
    <row r="157" spans="1:26" ht="15" customHeight="1" thickBot="1">
      <c r="A157">
        <v>75</v>
      </c>
      <c r="B157" t="s">
        <v>167</v>
      </c>
      <c r="C157">
        <v>0.02</v>
      </c>
      <c r="D157">
        <v>100</v>
      </c>
      <c r="E157" s="37">
        <f t="shared" si="64"/>
        <v>75.028571428571425</v>
      </c>
      <c r="F157">
        <v>30</v>
      </c>
      <c r="G157" s="71">
        <f t="shared" si="65"/>
        <v>1.4285714285714286</v>
      </c>
      <c r="H157" s="39">
        <f t="shared" si="66"/>
        <v>100</v>
      </c>
      <c r="I157">
        <v>100</v>
      </c>
      <c r="J157" s="71">
        <f t="shared" si="67"/>
        <v>2.8571428571428574E-2</v>
      </c>
      <c r="K157" s="71">
        <f t="shared" si="68"/>
        <v>75.057142857142864</v>
      </c>
      <c r="L157" s="72">
        <f t="shared" si="69"/>
        <v>22.989161238590142</v>
      </c>
      <c r="M157" s="73">
        <f t="shared" si="70"/>
        <v>0.42425156917269696</v>
      </c>
      <c r="N157" s="73">
        <f t="shared" si="71"/>
        <v>0.92057875507221809</v>
      </c>
      <c r="O157" s="74">
        <f t="shared" si="72"/>
        <v>7.9421244927781913</v>
      </c>
      <c r="P157" s="75">
        <f t="shared" si="73"/>
        <v>1.0862731672767654</v>
      </c>
      <c r="Q157" s="37">
        <f t="shared" si="74"/>
        <v>2.1725463345535309E-2</v>
      </c>
      <c r="R157" s="43">
        <f t="shared" si="75"/>
        <v>75.043450926691065</v>
      </c>
      <c r="S157" s="76">
        <f t="shared" si="76"/>
        <v>0.39055698138643635</v>
      </c>
      <c r="T157">
        <v>298</v>
      </c>
      <c r="U157" s="44">
        <f t="shared" si="77"/>
        <v>763.01286163706823</v>
      </c>
      <c r="V157">
        <v>41.5</v>
      </c>
      <c r="W157" s="77">
        <f t="shared" si="78"/>
        <v>162.23120323475547</v>
      </c>
      <c r="X157">
        <v>1.44</v>
      </c>
      <c r="Y157" s="47">
        <f t="shared" si="79"/>
        <v>8.0054783636379465</v>
      </c>
      <c r="Z157">
        <v>75</v>
      </c>
    </row>
    <row r="158" spans="1:26" ht="15" customHeight="1" thickBot="1">
      <c r="A158">
        <v>75.5</v>
      </c>
      <c r="B158" t="s">
        <v>167</v>
      </c>
      <c r="C158">
        <v>0.02</v>
      </c>
      <c r="D158">
        <v>100</v>
      </c>
      <c r="E158" s="37">
        <f t="shared" si="64"/>
        <v>75.528571428571425</v>
      </c>
      <c r="F158">
        <v>30</v>
      </c>
      <c r="G158" s="71">
        <f t="shared" si="65"/>
        <v>1.4285714285714286</v>
      </c>
      <c r="H158" s="39">
        <f t="shared" si="66"/>
        <v>100</v>
      </c>
      <c r="I158">
        <v>100</v>
      </c>
      <c r="J158" s="71">
        <f t="shared" si="67"/>
        <v>2.8571428571428574E-2</v>
      </c>
      <c r="K158" s="71">
        <f t="shared" si="68"/>
        <v>75.557142857142864</v>
      </c>
      <c r="L158" s="72">
        <f t="shared" si="69"/>
        <v>22.852651174745599</v>
      </c>
      <c r="M158" s="73">
        <f t="shared" si="70"/>
        <v>0.42144301897011621</v>
      </c>
      <c r="N158" s="73">
        <f t="shared" si="71"/>
        <v>0.92150666288977057</v>
      </c>
      <c r="O158" s="74">
        <f t="shared" si="72"/>
        <v>7.8493337110229504</v>
      </c>
      <c r="P158" s="75">
        <f t="shared" si="73"/>
        <v>1.0851793484206405</v>
      </c>
      <c r="Q158" s="37">
        <f t="shared" si="74"/>
        <v>2.1703586968412809E-2</v>
      </c>
      <c r="R158" s="43">
        <f t="shared" si="75"/>
        <v>75.543407173936828</v>
      </c>
      <c r="S158" s="76">
        <f t="shared" si="76"/>
        <v>0.38836255000934206</v>
      </c>
      <c r="T158">
        <v>299</v>
      </c>
      <c r="U158" s="44">
        <f t="shared" si="77"/>
        <v>769.89915735388888</v>
      </c>
      <c r="V158">
        <v>41.5</v>
      </c>
      <c r="W158" s="77">
        <f t="shared" si="78"/>
        <v>162.77076330365887</v>
      </c>
      <c r="X158">
        <v>1.44</v>
      </c>
      <c r="Y158" s="47">
        <f t="shared" si="79"/>
        <v>8.0426089802592635</v>
      </c>
      <c r="Z158">
        <v>75.5</v>
      </c>
    </row>
    <row r="159" spans="1:26" ht="15" customHeight="1" thickBot="1">
      <c r="A159">
        <v>76</v>
      </c>
      <c r="B159" t="s">
        <v>167</v>
      </c>
      <c r="C159">
        <v>0.02</v>
      </c>
      <c r="D159">
        <v>100</v>
      </c>
      <c r="E159" s="37">
        <f t="shared" si="64"/>
        <v>76.028571428571425</v>
      </c>
      <c r="F159">
        <v>30</v>
      </c>
      <c r="G159" s="71">
        <f t="shared" si="65"/>
        <v>1.4285714285714286</v>
      </c>
      <c r="H159" s="39">
        <f t="shared" si="66"/>
        <v>100</v>
      </c>
      <c r="I159">
        <v>100</v>
      </c>
      <c r="J159" s="71">
        <f t="shared" si="67"/>
        <v>2.8571428571428574E-2</v>
      </c>
      <c r="K159" s="71">
        <f t="shared" si="68"/>
        <v>76.057142857142864</v>
      </c>
      <c r="L159" s="72">
        <f t="shared" si="69"/>
        <v>22.717667320474281</v>
      </c>
      <c r="M159" s="73">
        <f t="shared" si="70"/>
        <v>0.41867140948797527</v>
      </c>
      <c r="N159" s="73">
        <f t="shared" si="71"/>
        <v>0.92241905295996385</v>
      </c>
      <c r="O159" s="74">
        <f t="shared" si="72"/>
        <v>7.7580947040036108</v>
      </c>
      <c r="P159" s="75">
        <f t="shared" si="73"/>
        <v>1.0841059676630544</v>
      </c>
      <c r="Q159" s="37">
        <f t="shared" si="74"/>
        <v>2.168211935326109E-2</v>
      </c>
      <c r="R159" s="43">
        <f t="shared" si="75"/>
        <v>76.043364238706516</v>
      </c>
      <c r="S159" s="76">
        <f t="shared" si="76"/>
        <v>0.38619048504131137</v>
      </c>
      <c r="T159">
        <v>300</v>
      </c>
      <c r="U159" s="44">
        <f t="shared" si="77"/>
        <v>776.81872449008824</v>
      </c>
      <c r="V159">
        <v>41.5</v>
      </c>
      <c r="W159" s="77">
        <f t="shared" si="78"/>
        <v>163.31113470815964</v>
      </c>
      <c r="X159">
        <v>1.44</v>
      </c>
      <c r="Y159" s="47">
        <f t="shared" si="79"/>
        <v>8.0798459559642062</v>
      </c>
      <c r="Z159">
        <v>76</v>
      </c>
    </row>
    <row r="160" spans="1:26" ht="15" customHeight="1" thickBot="1">
      <c r="A160">
        <v>76.5</v>
      </c>
      <c r="B160" t="s">
        <v>167</v>
      </c>
      <c r="C160">
        <v>0.02</v>
      </c>
      <c r="D160">
        <v>100</v>
      </c>
      <c r="E160" s="37">
        <f t="shared" si="64"/>
        <v>76.528571428571425</v>
      </c>
      <c r="F160">
        <v>30</v>
      </c>
      <c r="G160" s="71">
        <f t="shared" si="65"/>
        <v>1.4285714285714286</v>
      </c>
      <c r="H160" s="39">
        <f t="shared" si="66"/>
        <v>100</v>
      </c>
      <c r="I160">
        <v>100</v>
      </c>
      <c r="J160" s="71">
        <f t="shared" si="67"/>
        <v>2.8571428571428574E-2</v>
      </c>
      <c r="K160" s="71">
        <f t="shared" si="68"/>
        <v>76.557142857142864</v>
      </c>
      <c r="L160" s="72">
        <f t="shared" si="69"/>
        <v>22.58418569665935</v>
      </c>
      <c r="M160" s="73">
        <f t="shared" si="70"/>
        <v>0.41593601666884533</v>
      </c>
      <c r="N160" s="73">
        <f t="shared" si="71"/>
        <v>0.92331625451842314</v>
      </c>
      <c r="O160" s="74">
        <f t="shared" si="72"/>
        <v>7.6683745481576864</v>
      </c>
      <c r="P160" s="75">
        <f t="shared" si="73"/>
        <v>1.0830525241013687</v>
      </c>
      <c r="Q160" s="37">
        <f t="shared" si="74"/>
        <v>2.1661050482027374E-2</v>
      </c>
      <c r="R160" s="43">
        <f t="shared" si="75"/>
        <v>76.543322100964048</v>
      </c>
      <c r="S160" s="76">
        <f t="shared" si="76"/>
        <v>0.38404048502999072</v>
      </c>
      <c r="T160">
        <v>301</v>
      </c>
      <c r="U160" s="44">
        <f t="shared" si="77"/>
        <v>783.77153381757171</v>
      </c>
      <c r="V160">
        <v>41.5</v>
      </c>
      <c r="W160" s="77">
        <f t="shared" si="78"/>
        <v>163.85230714989018</v>
      </c>
      <c r="X160">
        <v>1.44</v>
      </c>
      <c r="Y160" s="47">
        <f t="shared" si="79"/>
        <v>8.1171872056918772</v>
      </c>
      <c r="Z160">
        <v>76.5</v>
      </c>
    </row>
    <row r="161" spans="1:26" ht="15" customHeight="1" thickBot="1">
      <c r="A161">
        <v>77</v>
      </c>
      <c r="B161" t="s">
        <v>167</v>
      </c>
      <c r="C161">
        <v>0.02</v>
      </c>
      <c r="D161">
        <v>100</v>
      </c>
      <c r="E161" s="37">
        <f t="shared" si="64"/>
        <v>77.028571428571425</v>
      </c>
      <c r="F161">
        <v>30</v>
      </c>
      <c r="G161" s="71">
        <f t="shared" si="65"/>
        <v>1.4285714285714286</v>
      </c>
      <c r="H161" s="39">
        <f t="shared" si="66"/>
        <v>100</v>
      </c>
      <c r="I161">
        <v>100</v>
      </c>
      <c r="J161" s="71">
        <f t="shared" si="67"/>
        <v>2.8571428571428574E-2</v>
      </c>
      <c r="K161" s="71">
        <f t="shared" si="68"/>
        <v>77.057142857142864</v>
      </c>
      <c r="L161" s="72">
        <f t="shared" si="69"/>
        <v>22.452182789712502</v>
      </c>
      <c r="M161" s="73">
        <f t="shared" si="70"/>
        <v>0.41323613525500824</v>
      </c>
      <c r="N161" s="73">
        <f t="shared" si="71"/>
        <v>0.92419858853894299</v>
      </c>
      <c r="O161" s="74">
        <f t="shared" si="72"/>
        <v>7.5801411461057029</v>
      </c>
      <c r="P161" s="75">
        <f t="shared" si="73"/>
        <v>1.082018531948735</v>
      </c>
      <c r="Q161" s="37">
        <f t="shared" si="74"/>
        <v>2.1640370638974699E-2</v>
      </c>
      <c r="R161" s="43">
        <f t="shared" si="75"/>
        <v>77.043280741277954</v>
      </c>
      <c r="S161" s="76">
        <f t="shared" si="76"/>
        <v>0.38191225293596637</v>
      </c>
      <c r="T161">
        <v>302</v>
      </c>
      <c r="U161" s="44">
        <f t="shared" si="77"/>
        <v>790.75755668576335</v>
      </c>
      <c r="V161">
        <v>41.5</v>
      </c>
      <c r="W161" s="77">
        <f t="shared" si="78"/>
        <v>164.39427049900695</v>
      </c>
      <c r="X161">
        <v>1.44</v>
      </c>
      <c r="Y161" s="47">
        <f t="shared" si="79"/>
        <v>8.1546306985319852</v>
      </c>
      <c r="Z161">
        <v>77</v>
      </c>
    </row>
    <row r="162" spans="1:26" ht="15" customHeight="1" thickBot="1">
      <c r="A162">
        <v>77.5</v>
      </c>
      <c r="B162" t="s">
        <v>167</v>
      </c>
      <c r="C162">
        <v>0.02</v>
      </c>
      <c r="D162">
        <v>100</v>
      </c>
      <c r="E162" s="37">
        <f t="shared" si="64"/>
        <v>77.528571428571425</v>
      </c>
      <c r="F162">
        <v>30</v>
      </c>
      <c r="G162" s="71">
        <f t="shared" si="65"/>
        <v>1.4285714285714286</v>
      </c>
      <c r="H162" s="39">
        <f t="shared" si="66"/>
        <v>100</v>
      </c>
      <c r="I162">
        <v>100</v>
      </c>
      <c r="J162" s="71">
        <f t="shared" si="67"/>
        <v>2.8571428571428574E-2</v>
      </c>
      <c r="K162" s="71">
        <f t="shared" si="68"/>
        <v>77.557142857142864</v>
      </c>
      <c r="L162" s="72">
        <f t="shared" si="69"/>
        <v>22.321635541338274</v>
      </c>
      <c r="M162" s="73">
        <f t="shared" si="70"/>
        <v>0.41057107818223776</v>
      </c>
      <c r="N162" s="73">
        <f t="shared" si="71"/>
        <v>0.92506636796651609</v>
      </c>
      <c r="O162" s="74">
        <f t="shared" si="72"/>
        <v>7.4933632033483955</v>
      </c>
      <c r="P162" s="75">
        <f t="shared" si="73"/>
        <v>1.0810035199941419</v>
      </c>
      <c r="Q162" s="37">
        <f t="shared" si="74"/>
        <v>2.1620070399882837E-2</v>
      </c>
      <c r="R162" s="43">
        <f t="shared" si="75"/>
        <v>77.543240140799767</v>
      </c>
      <c r="S162" s="76">
        <f t="shared" si="76"/>
        <v>0.37980549608613923</v>
      </c>
      <c r="T162">
        <v>303</v>
      </c>
      <c r="U162" s="44">
        <f t="shared" si="77"/>
        <v>797.77676500837185</v>
      </c>
      <c r="V162">
        <v>41.5</v>
      </c>
      <c r="W162" s="77">
        <f t="shared" si="78"/>
        <v>164.93701479089307</v>
      </c>
      <c r="X162">
        <v>1.44</v>
      </c>
      <c r="Y162" s="47">
        <f t="shared" si="79"/>
        <v>8.1921744559781402</v>
      </c>
      <c r="Z162">
        <v>77.5</v>
      </c>
    </row>
    <row r="163" spans="1:26" ht="15" customHeight="1" thickBot="1">
      <c r="A163">
        <v>78</v>
      </c>
      <c r="B163" t="s">
        <v>167</v>
      </c>
      <c r="C163">
        <v>0.02</v>
      </c>
      <c r="D163">
        <v>100</v>
      </c>
      <c r="E163" s="37">
        <f t="shared" si="64"/>
        <v>78.028571428571425</v>
      </c>
      <c r="F163">
        <v>30</v>
      </c>
      <c r="G163" s="71">
        <f t="shared" si="65"/>
        <v>1.4285714285714286</v>
      </c>
      <c r="H163" s="39">
        <f t="shared" si="66"/>
        <v>100</v>
      </c>
      <c r="I163">
        <v>100</v>
      </c>
      <c r="J163" s="71">
        <f t="shared" si="67"/>
        <v>2.8571428571428574E-2</v>
      </c>
      <c r="K163" s="71">
        <f t="shared" si="68"/>
        <v>78.057142857142864</v>
      </c>
      <c r="L163" s="72">
        <f t="shared" si="69"/>
        <v>22.192521338530597</v>
      </c>
      <c r="M163" s="73">
        <f t="shared" si="70"/>
        <v>0.40794017599688837</v>
      </c>
      <c r="N163" s="73">
        <f t="shared" si="71"/>
        <v>0.92591989794331386</v>
      </c>
      <c r="O163" s="74">
        <f t="shared" si="72"/>
        <v>7.4080102056686181</v>
      </c>
      <c r="P163" s="75">
        <f t="shared" si="73"/>
        <v>1.0800070310846928</v>
      </c>
      <c r="Q163" s="37">
        <f t="shared" si="74"/>
        <v>2.1600140621693856E-2</v>
      </c>
      <c r="R163" s="43">
        <f t="shared" si="75"/>
        <v>78.043200281243386</v>
      </c>
      <c r="S163" s="76">
        <f t="shared" si="76"/>
        <v>0.37771992612601635</v>
      </c>
      <c r="T163">
        <v>304</v>
      </c>
      <c r="U163" s="44">
        <f t="shared" si="77"/>
        <v>804.82913125048731</v>
      </c>
      <c r="V163">
        <v>41.5</v>
      </c>
      <c r="W163" s="77">
        <f t="shared" si="78"/>
        <v>165.480530222933</v>
      </c>
      <c r="X163">
        <v>1.44</v>
      </c>
      <c r="Y163" s="47">
        <f t="shared" si="79"/>
        <v>8.2298165502483389</v>
      </c>
      <c r="Z163">
        <v>78</v>
      </c>
    </row>
    <row r="164" spans="1:26" ht="15" customHeight="1" thickBot="1">
      <c r="A164">
        <v>78.5</v>
      </c>
      <c r="B164" t="s">
        <v>167</v>
      </c>
      <c r="C164">
        <v>0.02</v>
      </c>
      <c r="D164">
        <v>100</v>
      </c>
      <c r="E164" s="37">
        <f t="shared" si="64"/>
        <v>78.528571428571425</v>
      </c>
      <c r="F164">
        <v>30</v>
      </c>
      <c r="G164" s="71">
        <f t="shared" si="65"/>
        <v>1.4285714285714286</v>
      </c>
      <c r="H164" s="39">
        <f t="shared" si="66"/>
        <v>100</v>
      </c>
      <c r="I164">
        <v>100</v>
      </c>
      <c r="J164" s="71">
        <f t="shared" si="67"/>
        <v>2.8571428571428574E-2</v>
      </c>
      <c r="K164" s="71">
        <f t="shared" si="68"/>
        <v>78.557142857142864</v>
      </c>
      <c r="L164" s="72">
        <f t="shared" si="69"/>
        <v>22.064818003797061</v>
      </c>
      <c r="M164" s="73">
        <f t="shared" si="70"/>
        <v>0.40534277629525278</v>
      </c>
      <c r="N164" s="73">
        <f t="shared" si="71"/>
        <v>0.92675947602783559</v>
      </c>
      <c r="O164" s="74">
        <f t="shared" si="72"/>
        <v>7.324052397216434</v>
      </c>
      <c r="P164" s="75">
        <f t="shared" si="73"/>
        <v>1.0790286216290759</v>
      </c>
      <c r="Q164" s="37">
        <f t="shared" si="74"/>
        <v>2.1580572432581518E-2</v>
      </c>
      <c r="R164" s="43">
        <f t="shared" si="75"/>
        <v>78.543161144865167</v>
      </c>
      <c r="S164" s="76">
        <f t="shared" si="76"/>
        <v>0.37565525897105667</v>
      </c>
      <c r="T164">
        <v>305</v>
      </c>
      <c r="U164" s="44">
        <f t="shared" si="77"/>
        <v>811.91462841599537</v>
      </c>
      <c r="V164">
        <v>41.5</v>
      </c>
      <c r="W164" s="77">
        <f t="shared" si="78"/>
        <v>166.02480715135775</v>
      </c>
      <c r="X164">
        <v>1.44</v>
      </c>
      <c r="Y164" s="47">
        <f t="shared" si="79"/>
        <v>8.2675551026696006</v>
      </c>
      <c r="Z164">
        <v>78.5</v>
      </c>
    </row>
    <row r="165" spans="1:26" ht="15" customHeight="1" thickBot="1">
      <c r="A165">
        <v>79</v>
      </c>
      <c r="B165" t="s">
        <v>167</v>
      </c>
      <c r="C165">
        <v>0.02</v>
      </c>
      <c r="D165">
        <v>100</v>
      </c>
      <c r="E165" s="37">
        <f t="shared" si="64"/>
        <v>79.028571428571425</v>
      </c>
      <c r="F165">
        <v>30</v>
      </c>
      <c r="G165" s="71">
        <f t="shared" si="65"/>
        <v>1.4285714285714286</v>
      </c>
      <c r="H165" s="39">
        <f t="shared" si="66"/>
        <v>100</v>
      </c>
      <c r="I165">
        <v>100</v>
      </c>
      <c r="J165" s="71">
        <f t="shared" si="67"/>
        <v>2.8571428571428574E-2</v>
      </c>
      <c r="K165" s="71">
        <f t="shared" si="68"/>
        <v>79.057142857142864</v>
      </c>
      <c r="L165" s="72">
        <f t="shared" si="69"/>
        <v>21.938503785606471</v>
      </c>
      <c r="M165" s="73">
        <f t="shared" si="70"/>
        <v>0.4027782431842018</v>
      </c>
      <c r="N165" s="73">
        <f t="shared" si="71"/>
        <v>0.92758539240743398</v>
      </c>
      <c r="O165" s="74">
        <f t="shared" si="72"/>
        <v>7.2414607592565972</v>
      </c>
      <c r="P165" s="75">
        <f t="shared" si="73"/>
        <v>1.0780678611212524</v>
      </c>
      <c r="Q165" s="37">
        <f t="shared" si="74"/>
        <v>2.156135722242505E-2</v>
      </c>
      <c r="R165" s="43">
        <f t="shared" si="75"/>
        <v>79.043122714444848</v>
      </c>
      <c r="S165" s="76">
        <f t="shared" si="76"/>
        <v>0.37361121475719478</v>
      </c>
      <c r="T165">
        <v>306</v>
      </c>
      <c r="U165" s="44">
        <f t="shared" si="77"/>
        <v>819.03323003530704</v>
      </c>
      <c r="V165">
        <v>41.5</v>
      </c>
      <c r="W165" s="77">
        <f t="shared" si="78"/>
        <v>166.56983608815912</v>
      </c>
      <c r="X165">
        <v>1.44</v>
      </c>
      <c r="Y165" s="47">
        <f t="shared" si="79"/>
        <v>8.3053882821239906</v>
      </c>
      <c r="Z165">
        <v>79</v>
      </c>
    </row>
    <row r="166" spans="1:26" ht="15" customHeight="1" thickBot="1">
      <c r="A166">
        <v>79.5</v>
      </c>
      <c r="B166" t="s">
        <v>167</v>
      </c>
      <c r="C166">
        <v>0.02</v>
      </c>
      <c r="D166">
        <v>100</v>
      </c>
      <c r="E166" s="37">
        <f t="shared" si="64"/>
        <v>79.528571428571425</v>
      </c>
      <c r="F166">
        <v>30</v>
      </c>
      <c r="G166" s="71">
        <f t="shared" si="65"/>
        <v>1.4285714285714286</v>
      </c>
      <c r="H166" s="39">
        <f t="shared" si="66"/>
        <v>100</v>
      </c>
      <c r="I166">
        <v>100</v>
      </c>
      <c r="J166" s="71">
        <f t="shared" si="67"/>
        <v>2.8571428571428574E-2</v>
      </c>
      <c r="K166" s="71">
        <f t="shared" si="68"/>
        <v>79.557142857142864</v>
      </c>
      <c r="L166" s="72">
        <f t="shared" si="69"/>
        <v>21.813557349055252</v>
      </c>
      <c r="M166" s="73">
        <f t="shared" si="70"/>
        <v>0.40024595676217067</v>
      </c>
      <c r="N166" s="73">
        <f t="shared" si="71"/>
        <v>0.92839793010442118</v>
      </c>
      <c r="O166" s="74">
        <f t="shared" si="72"/>
        <v>7.1602069895578779</v>
      </c>
      <c r="P166" s="75">
        <f t="shared" si="73"/>
        <v>1.0771243316834251</v>
      </c>
      <c r="Q166" s="37">
        <f t="shared" si="74"/>
        <v>2.1542486633668503E-2</v>
      </c>
      <c r="R166" s="43">
        <f t="shared" si="75"/>
        <v>79.543084973267341</v>
      </c>
      <c r="S166" s="76">
        <f t="shared" si="76"/>
        <v>0.37158751779066296</v>
      </c>
      <c r="T166">
        <v>307</v>
      </c>
      <c r="U166" s="44">
        <f t="shared" si="77"/>
        <v>826.18491015338975</v>
      </c>
      <c r="V166">
        <v>41.5</v>
      </c>
      <c r="W166" s="77">
        <f t="shared" si="78"/>
        <v>167.11560769807093</v>
      </c>
      <c r="X166">
        <v>1.44</v>
      </c>
      <c r="Y166" s="47">
        <f t="shared" si="79"/>
        <v>8.3433143035532478</v>
      </c>
      <c r="Z166">
        <v>79.5</v>
      </c>
    </row>
    <row r="167" spans="1:26" ht="15" customHeight="1" thickBot="1">
      <c r="A167">
        <v>80</v>
      </c>
      <c r="B167" t="s">
        <v>167</v>
      </c>
      <c r="C167">
        <v>0.02</v>
      </c>
      <c r="D167">
        <v>100</v>
      </c>
      <c r="E167" s="37">
        <f t="shared" si="64"/>
        <v>80.028571428571425</v>
      </c>
      <c r="F167">
        <v>30</v>
      </c>
      <c r="G167" s="71">
        <f t="shared" si="65"/>
        <v>1.4285714285714286</v>
      </c>
      <c r="H167" s="39">
        <f t="shared" si="66"/>
        <v>100</v>
      </c>
      <c r="I167">
        <v>100</v>
      </c>
      <c r="J167" s="71">
        <f t="shared" si="67"/>
        <v>2.8571428571428574E-2</v>
      </c>
      <c r="K167" s="71">
        <f t="shared" si="68"/>
        <v>80.057142857142864</v>
      </c>
      <c r="L167" s="72">
        <f t="shared" si="69"/>
        <v>21.689957766748194</v>
      </c>
      <c r="M167" s="73">
        <f t="shared" si="70"/>
        <v>0.39774531261960094</v>
      </c>
      <c r="N167" s="73">
        <f t="shared" si="71"/>
        <v>0.92919736517595275</v>
      </c>
      <c r="O167" s="74">
        <f t="shared" si="72"/>
        <v>7.0802634824047317</v>
      </c>
      <c r="P167" s="75">
        <f t="shared" si="73"/>
        <v>1.0761976276274094</v>
      </c>
      <c r="Q167" s="37">
        <f t="shared" si="74"/>
        <v>2.152395255254819E-2</v>
      </c>
      <c r="R167" s="43">
        <f t="shared" si="75"/>
        <v>80.043047905105098</v>
      </c>
      <c r="S167" s="76">
        <f t="shared" si="76"/>
        <v>0.3695838964972189</v>
      </c>
      <c r="T167">
        <v>308</v>
      </c>
      <c r="U167" s="44">
        <f t="shared" si="77"/>
        <v>833.36964331809759</v>
      </c>
      <c r="V167">
        <v>41.5</v>
      </c>
      <c r="W167" s="77">
        <f t="shared" si="78"/>
        <v>167.66211279561637</v>
      </c>
      <c r="X167">
        <v>1.44</v>
      </c>
      <c r="Y167" s="47">
        <f t="shared" si="79"/>
        <v>8.3813314265195267</v>
      </c>
      <c r="Z167">
        <v>80</v>
      </c>
    </row>
    <row r="168" spans="1:26" ht="15" customHeight="1" thickBot="1">
      <c r="A168">
        <v>80.5</v>
      </c>
      <c r="B168" t="s">
        <v>167</v>
      </c>
      <c r="C168">
        <v>0.02</v>
      </c>
      <c r="D168">
        <v>100</v>
      </c>
      <c r="E168" s="37">
        <f t="shared" si="64"/>
        <v>80.528571428571425</v>
      </c>
      <c r="F168">
        <v>30</v>
      </c>
      <c r="G168" s="71">
        <f t="shared" si="65"/>
        <v>1.4285714285714286</v>
      </c>
      <c r="H168" s="39">
        <f t="shared" si="66"/>
        <v>100</v>
      </c>
      <c r="I168">
        <v>100</v>
      </c>
      <c r="J168" s="71">
        <f t="shared" si="67"/>
        <v>2.8571428571428574E-2</v>
      </c>
      <c r="K168" s="71">
        <f t="shared" si="68"/>
        <v>80.557142857142864</v>
      </c>
      <c r="L168" s="72">
        <f t="shared" si="69"/>
        <v>21.567684509889119</v>
      </c>
      <c r="M168" s="73">
        <f t="shared" si="70"/>
        <v>0.3952757213579926</v>
      </c>
      <c r="N168" s="73">
        <f t="shared" si="71"/>
        <v>0.92998396690788254</v>
      </c>
      <c r="O168" s="74">
        <f t="shared" si="72"/>
        <v>7.0016033092117453</v>
      </c>
      <c r="P168" s="75">
        <f t="shared" si="73"/>
        <v>1.0752873550335655</v>
      </c>
      <c r="Q168" s="37">
        <f t="shared" si="74"/>
        <v>2.150574710067131E-2</v>
      </c>
      <c r="R168" s="43">
        <f t="shared" si="75"/>
        <v>80.543011494201338</v>
      </c>
      <c r="S168" s="76">
        <f t="shared" si="76"/>
        <v>0.36760008337088079</v>
      </c>
      <c r="T168">
        <v>309</v>
      </c>
      <c r="U168" s="44">
        <f t="shared" si="77"/>
        <v>840.58740456879138</v>
      </c>
      <c r="V168">
        <v>41.5</v>
      </c>
      <c r="W168" s="77">
        <f t="shared" si="78"/>
        <v>168.20934234221968</v>
      </c>
      <c r="X168">
        <v>1.44</v>
      </c>
      <c r="Y168" s="47">
        <f t="shared" si="79"/>
        <v>8.4194379538197328</v>
      </c>
      <c r="Z168">
        <v>80.5</v>
      </c>
    </row>
    <row r="169" spans="1:26" ht="15" customHeight="1" thickBot="1">
      <c r="A169">
        <v>81</v>
      </c>
      <c r="B169" t="s">
        <v>167</v>
      </c>
      <c r="C169">
        <v>0.02</v>
      </c>
      <c r="D169">
        <v>100</v>
      </c>
      <c r="E169" s="37">
        <f t="shared" ref="E169:E200" si="80">A169+J169</f>
        <v>81.028571428571425</v>
      </c>
      <c r="F169">
        <v>30</v>
      </c>
      <c r="G169" s="71">
        <f t="shared" ref="G169:G200" si="81">100/(100-F169)</f>
        <v>1.4285714285714286</v>
      </c>
      <c r="H169" s="39">
        <f t="shared" ref="H169:H200" si="82">3.1415926*E169*M169</f>
        <v>100</v>
      </c>
      <c r="I169">
        <v>100</v>
      </c>
      <c r="J169" s="71">
        <f t="shared" ref="J169:J200" si="83">G169*C169</f>
        <v>2.8571428571428574E-2</v>
      </c>
      <c r="K169" s="71">
        <f t="shared" ref="K169:K200" si="84">A169+2*J169</f>
        <v>81.057142857142864</v>
      </c>
      <c r="L169" s="72">
        <f t="shared" ref="L169:L200" si="85">ATAN(I169/(3.1415926*(A169+J169)))*180/3.1415926</f>
        <v>21.446717439577242</v>
      </c>
      <c r="M169" s="73">
        <f t="shared" ref="M169:M200" si="86">I169/(3.1415926*(A169+J169))</f>
        <v>0.39283660812676385</v>
      </c>
      <c r="N169" s="73">
        <f t="shared" ref="N169:N200" si="87">COS(L169*3.1415926/180)</f>
        <v>0.93075799800277303</v>
      </c>
      <c r="O169" s="74">
        <f t="shared" ref="O169:O200" si="88">(D169-I169*N169)/D169*100</f>
        <v>6.9242001997226907</v>
      </c>
      <c r="P169" s="75">
        <f t="shared" ref="P169:P200" si="89">100/(100-O169)</f>
        <v>1.0743931313465014</v>
      </c>
      <c r="Q169" s="37">
        <f t="shared" ref="Q169:Q200" si="90">P169*C169</f>
        <v>2.1487862626930029E-2</v>
      </c>
      <c r="R169" s="43">
        <f t="shared" ref="R169:R200" si="91">A169+2*Q169</f>
        <v>81.042975725253854</v>
      </c>
      <c r="S169" s="76">
        <f t="shared" ref="S169:S200" si="92">SIN(L169*3.1415926/180)</f>
        <v>0.3656358149222666</v>
      </c>
      <c r="T169">
        <v>310</v>
      </c>
      <c r="U169" s="44">
        <f t="shared" ref="U169:U200" si="93">T169/S169</f>
        <v>847.83816942523902</v>
      </c>
      <c r="V169">
        <v>41.5</v>
      </c>
      <c r="W169" s="77">
        <f t="shared" ref="W169:W200" si="94">2*SQRT((1000*U169*C169/3.1415926)+(V169*V169))</f>
        <v>168.75728744338056</v>
      </c>
      <c r="X169">
        <v>1.44</v>
      </c>
      <c r="Y169" s="47">
        <f t="shared" ref="Y169:Y200" si="95">3.14*(A169+Q169)*Q169*X169*P169</f>
        <v>8.457632230151237</v>
      </c>
      <c r="Z169">
        <v>81</v>
      </c>
    </row>
    <row r="170" spans="1:26" ht="15" customHeight="1" thickBot="1">
      <c r="A170">
        <v>81.5</v>
      </c>
      <c r="B170" t="s">
        <v>167</v>
      </c>
      <c r="C170">
        <v>0.02</v>
      </c>
      <c r="D170">
        <v>100</v>
      </c>
      <c r="E170" s="37">
        <f t="shared" si="80"/>
        <v>81.528571428571425</v>
      </c>
      <c r="F170">
        <v>30</v>
      </c>
      <c r="G170" s="71">
        <f t="shared" si="81"/>
        <v>1.4285714285714286</v>
      </c>
      <c r="H170" s="39">
        <f t="shared" si="82"/>
        <v>100</v>
      </c>
      <c r="I170">
        <v>100</v>
      </c>
      <c r="J170" s="71">
        <f t="shared" si="83"/>
        <v>2.8571428571428574E-2</v>
      </c>
      <c r="K170" s="71">
        <f t="shared" si="84"/>
        <v>81.557142857142864</v>
      </c>
      <c r="L170" s="72">
        <f t="shared" si="85"/>
        <v>21.327036798304611</v>
      </c>
      <c r="M170" s="73">
        <f t="shared" si="86"/>
        <v>0.3904274121771516</v>
      </c>
      <c r="N170" s="73">
        <f t="shared" si="87"/>
        <v>0.93151971476224593</v>
      </c>
      <c r="O170" s="74">
        <f t="shared" si="88"/>
        <v>6.8480285237754126</v>
      </c>
      <c r="P170" s="75">
        <f t="shared" si="89"/>
        <v>1.0735145849867842</v>
      </c>
      <c r="Q170" s="37">
        <f t="shared" si="90"/>
        <v>2.1470291699735685E-2</v>
      </c>
      <c r="R170" s="43">
        <f t="shared" si="91"/>
        <v>81.542940583399471</v>
      </c>
      <c r="S170" s="76">
        <f t="shared" si="92"/>
        <v>0.36369083162662208</v>
      </c>
      <c r="T170">
        <v>311</v>
      </c>
      <c r="U170" s="44">
        <f t="shared" si="93"/>
        <v>855.12191387679422</v>
      </c>
      <c r="V170">
        <v>41.5</v>
      </c>
      <c r="W170" s="77">
        <f t="shared" si="94"/>
        <v>169.30593934591016</v>
      </c>
      <c r="X170">
        <v>1.44</v>
      </c>
      <c r="Y170" s="47">
        <f t="shared" si="95"/>
        <v>8.4959126408266457</v>
      </c>
      <c r="Z170">
        <v>81.5</v>
      </c>
    </row>
    <row r="171" spans="1:26" ht="15" customHeight="1" thickBot="1">
      <c r="A171">
        <v>82</v>
      </c>
      <c r="B171" t="s">
        <v>167</v>
      </c>
      <c r="C171">
        <v>0.02</v>
      </c>
      <c r="D171">
        <v>100</v>
      </c>
      <c r="E171" s="37">
        <f t="shared" si="80"/>
        <v>82.028571428571425</v>
      </c>
      <c r="F171">
        <v>30</v>
      </c>
      <c r="G171" s="71">
        <f t="shared" si="81"/>
        <v>1.4285714285714286</v>
      </c>
      <c r="H171" s="39">
        <f t="shared" si="82"/>
        <v>100</v>
      </c>
      <c r="I171">
        <v>100</v>
      </c>
      <c r="J171" s="71">
        <f t="shared" si="83"/>
        <v>2.8571428571428574E-2</v>
      </c>
      <c r="K171" s="71">
        <f t="shared" si="84"/>
        <v>82.057142857142864</v>
      </c>
      <c r="L171" s="72">
        <f t="shared" si="85"/>
        <v>21.208623201650603</v>
      </c>
      <c r="M171" s="73">
        <f t="shared" si="86"/>
        <v>0.38804758643242848</v>
      </c>
      <c r="N171" s="73">
        <f t="shared" si="87"/>
        <v>0.93226936726384513</v>
      </c>
      <c r="O171" s="74">
        <f t="shared" si="88"/>
        <v>6.7730632736154917</v>
      </c>
      <c r="P171" s="75">
        <f t="shared" si="89"/>
        <v>1.0726513549779506</v>
      </c>
      <c r="Q171" s="37">
        <f t="shared" si="90"/>
        <v>2.1453027099559013E-2</v>
      </c>
      <c r="R171" s="43">
        <f t="shared" si="91"/>
        <v>82.042906054199122</v>
      </c>
      <c r="S171" s="76">
        <f t="shared" si="92"/>
        <v>0.36176487787162231</v>
      </c>
      <c r="T171">
        <v>312</v>
      </c>
      <c r="U171" s="44">
        <f t="shared" si="93"/>
        <v>862.43861437184034</v>
      </c>
      <c r="V171">
        <v>41.5</v>
      </c>
      <c r="W171" s="77">
        <f t="shared" si="94"/>
        <v>169.85528943522712</v>
      </c>
      <c r="X171">
        <v>1.44</v>
      </c>
      <c r="Y171" s="47">
        <f t="shared" si="95"/>
        <v>8.5342776105356286</v>
      </c>
      <c r="Z171">
        <v>82</v>
      </c>
    </row>
    <row r="172" spans="1:26" ht="15" customHeight="1" thickBot="1">
      <c r="A172">
        <v>82.5</v>
      </c>
      <c r="B172" t="s">
        <v>167</v>
      </c>
      <c r="C172">
        <v>0.02</v>
      </c>
      <c r="D172">
        <v>100</v>
      </c>
      <c r="E172" s="37">
        <f t="shared" si="80"/>
        <v>82.528571428571425</v>
      </c>
      <c r="F172">
        <v>30</v>
      </c>
      <c r="G172" s="71">
        <f t="shared" si="81"/>
        <v>1.4285714285714286</v>
      </c>
      <c r="H172" s="39">
        <f t="shared" si="82"/>
        <v>100</v>
      </c>
      <c r="I172">
        <v>100</v>
      </c>
      <c r="J172" s="71">
        <f t="shared" si="83"/>
        <v>2.8571428571428574E-2</v>
      </c>
      <c r="K172" s="71">
        <f t="shared" si="84"/>
        <v>82.557142857142864</v>
      </c>
      <c r="L172" s="72">
        <f t="shared" si="85"/>
        <v>21.091457630168971</v>
      </c>
      <c r="M172" s="73">
        <f t="shared" si="86"/>
        <v>0.38569659707374143</v>
      </c>
      <c r="N172" s="73">
        <f t="shared" si="87"/>
        <v>0.9330071995325856</v>
      </c>
      <c r="O172" s="74">
        <f t="shared" si="88"/>
        <v>6.6992800467414346</v>
      </c>
      <c r="P172" s="75">
        <f t="shared" si="89"/>
        <v>1.0718030905881286</v>
      </c>
      <c r="Q172" s="37">
        <f t="shared" si="90"/>
        <v>2.1436061811762573E-2</v>
      </c>
      <c r="R172" s="43">
        <f t="shared" si="91"/>
        <v>82.542872123623525</v>
      </c>
      <c r="S172" s="76">
        <f t="shared" si="92"/>
        <v>0.35985770190501953</v>
      </c>
      <c r="T172">
        <v>313</v>
      </c>
      <c r="U172" s="44">
        <f t="shared" si="93"/>
        <v>869.78824780749835</v>
      </c>
      <c r="V172">
        <v>41.5</v>
      </c>
      <c r="W172" s="77">
        <f t="shared" si="94"/>
        <v>170.40532923271232</v>
      </c>
      <c r="X172">
        <v>1.44</v>
      </c>
      <c r="Y172" s="47">
        <f t="shared" si="95"/>
        <v>8.5727256021517686</v>
      </c>
      <c r="Z172">
        <v>82.5</v>
      </c>
    </row>
    <row r="173" spans="1:26" ht="15" customHeight="1" thickBot="1">
      <c r="A173">
        <v>83</v>
      </c>
      <c r="B173" t="s">
        <v>167</v>
      </c>
      <c r="C173">
        <v>0.02</v>
      </c>
      <c r="D173">
        <v>100</v>
      </c>
      <c r="E173" s="37">
        <f t="shared" si="80"/>
        <v>83.028571428571425</v>
      </c>
      <c r="F173">
        <v>30</v>
      </c>
      <c r="G173" s="71">
        <f t="shared" si="81"/>
        <v>1.4285714285714286</v>
      </c>
      <c r="H173" s="39">
        <f t="shared" si="82"/>
        <v>100</v>
      </c>
      <c r="I173">
        <v>100</v>
      </c>
      <c r="J173" s="71">
        <f t="shared" si="83"/>
        <v>2.8571428571428574E-2</v>
      </c>
      <c r="K173" s="71">
        <f t="shared" si="84"/>
        <v>83.057142857142864</v>
      </c>
      <c r="L173" s="72">
        <f t="shared" si="85"/>
        <v>20.975521421463434</v>
      </c>
      <c r="M173" s="73">
        <f t="shared" si="86"/>
        <v>0.38337392314091606</v>
      </c>
      <c r="N173" s="73">
        <f t="shared" si="87"/>
        <v>0.93373344970735284</v>
      </c>
      <c r="O173" s="74">
        <f t="shared" si="88"/>
        <v>6.6266550292647111</v>
      </c>
      <c r="P173" s="75">
        <f t="shared" si="89"/>
        <v>1.0709694509856278</v>
      </c>
      <c r="Q173" s="37">
        <f t="shared" si="90"/>
        <v>2.1419389019712555E-2</v>
      </c>
      <c r="R173" s="43">
        <f t="shared" si="91"/>
        <v>83.042838778039425</v>
      </c>
      <c r="S173" s="76">
        <f t="shared" si="92"/>
        <v>0.35796905578220917</v>
      </c>
      <c r="T173">
        <v>314</v>
      </c>
      <c r="U173" s="44">
        <f t="shared" si="93"/>
        <v>877.17079151958808</v>
      </c>
      <c r="V173">
        <v>41.5</v>
      </c>
      <c r="W173" s="77">
        <f t="shared" si="94"/>
        <v>170.95605039312093</v>
      </c>
      <c r="X173">
        <v>1.44</v>
      </c>
      <c r="Y173" s="47">
        <f t="shared" si="95"/>
        <v>8.6112551155825248</v>
      </c>
      <c r="Z173">
        <v>83</v>
      </c>
    </row>
    <row r="174" spans="1:26" ht="15" customHeight="1" thickBot="1">
      <c r="A174">
        <v>83.5</v>
      </c>
      <c r="B174" t="s">
        <v>167</v>
      </c>
      <c r="C174">
        <v>0.02</v>
      </c>
      <c r="D174">
        <v>100</v>
      </c>
      <c r="E174" s="37">
        <f t="shared" si="80"/>
        <v>83.528571428571425</v>
      </c>
      <c r="F174">
        <v>30</v>
      </c>
      <c r="G174" s="71">
        <f t="shared" si="81"/>
        <v>1.4285714285714286</v>
      </c>
      <c r="H174" s="39">
        <f t="shared" si="82"/>
        <v>100</v>
      </c>
      <c r="I174">
        <v>100</v>
      </c>
      <c r="J174" s="71">
        <f t="shared" si="83"/>
        <v>2.8571428571428574E-2</v>
      </c>
      <c r="K174" s="71">
        <f t="shared" si="84"/>
        <v>83.557142857142864</v>
      </c>
      <c r="L174" s="72">
        <f t="shared" si="85"/>
        <v>20.86079626244749</v>
      </c>
      <c r="M174" s="73">
        <f t="shared" si="86"/>
        <v>0.38107905614759779</v>
      </c>
      <c r="N174" s="73">
        <f t="shared" si="87"/>
        <v>0.93444835020231343</v>
      </c>
      <c r="O174" s="74">
        <f t="shared" si="88"/>
        <v>6.5551649797686631</v>
      </c>
      <c r="P174" s="75">
        <f t="shared" si="89"/>
        <v>1.070150104907879</v>
      </c>
      <c r="Q174" s="37">
        <f t="shared" si="90"/>
        <v>2.140300209815758E-2</v>
      </c>
      <c r="R174" s="43">
        <f t="shared" si="91"/>
        <v>83.542806004196322</v>
      </c>
      <c r="S174" s="76">
        <f t="shared" si="92"/>
        <v>0.35609869531377747</v>
      </c>
      <c r="T174">
        <v>315</v>
      </c>
      <c r="U174" s="44">
        <f t="shared" si="93"/>
        <v>884.58622327283945</v>
      </c>
      <c r="V174">
        <v>41.5</v>
      </c>
      <c r="W174" s="77">
        <f t="shared" si="94"/>
        <v>171.50744470205052</v>
      </c>
      <c r="X174">
        <v>1.44</v>
      </c>
      <c r="Y174" s="47">
        <f t="shared" si="95"/>
        <v>8.6498646866605302</v>
      </c>
      <c r="Z174">
        <v>83.5</v>
      </c>
    </row>
    <row r="175" spans="1:26" ht="15" customHeight="1" thickBot="1">
      <c r="A175">
        <v>84</v>
      </c>
      <c r="B175" t="s">
        <v>167</v>
      </c>
      <c r="C175">
        <v>0.02</v>
      </c>
      <c r="D175">
        <v>100</v>
      </c>
      <c r="E175" s="37">
        <f t="shared" si="80"/>
        <v>84.028571428571425</v>
      </c>
      <c r="F175">
        <v>30</v>
      </c>
      <c r="G175" s="71">
        <f t="shared" si="81"/>
        <v>1.4285714285714286</v>
      </c>
      <c r="H175" s="39">
        <f t="shared" si="82"/>
        <v>100</v>
      </c>
      <c r="I175">
        <v>100</v>
      </c>
      <c r="J175" s="71">
        <f t="shared" si="83"/>
        <v>2.8571428571428574E-2</v>
      </c>
      <c r="K175" s="71">
        <f t="shared" si="84"/>
        <v>84.057142857142864</v>
      </c>
      <c r="L175" s="72">
        <f t="shared" si="85"/>
        <v>20.747264181784505</v>
      </c>
      <c r="M175" s="73">
        <f t="shared" si="86"/>
        <v>0.37881149971013339</v>
      </c>
      <c r="N175" s="73">
        <f t="shared" si="87"/>
        <v>0.93515212786349355</v>
      </c>
      <c r="O175" s="74">
        <f t="shared" si="88"/>
        <v>6.484787213650649</v>
      </c>
      <c r="P175" s="75">
        <f t="shared" si="89"/>
        <v>1.0693447303431389</v>
      </c>
      <c r="Q175" s="37">
        <f t="shared" si="90"/>
        <v>2.1386894606862779E-2</v>
      </c>
      <c r="R175" s="43">
        <f t="shared" si="91"/>
        <v>84.042773789213726</v>
      </c>
      <c r="S175" s="76">
        <f t="shared" si="92"/>
        <v>0.35424638001309244</v>
      </c>
      <c r="T175">
        <v>316</v>
      </c>
      <c r="U175" s="44">
        <f t="shared" si="93"/>
        <v>892.03452125134231</v>
      </c>
      <c r="V175">
        <v>41.5</v>
      </c>
      <c r="W175" s="77">
        <f t="shared" si="94"/>
        <v>172.05950407346393</v>
      </c>
      <c r="X175">
        <v>1.44</v>
      </c>
      <c r="Y175" s="47">
        <f t="shared" si="95"/>
        <v>8.6885528860744508</v>
      </c>
      <c r="Z175">
        <v>84</v>
      </c>
    </row>
    <row r="176" spans="1:26" ht="15" customHeight="1" thickBot="1">
      <c r="A176">
        <v>84.5</v>
      </c>
      <c r="B176" t="s">
        <v>167</v>
      </c>
      <c r="C176">
        <v>0.02</v>
      </c>
      <c r="D176">
        <v>100</v>
      </c>
      <c r="E176" s="37">
        <f t="shared" si="80"/>
        <v>84.528571428571425</v>
      </c>
      <c r="F176">
        <v>30</v>
      </c>
      <c r="G176" s="71">
        <f t="shared" si="81"/>
        <v>1.4285714285714286</v>
      </c>
      <c r="H176" s="39">
        <f t="shared" si="82"/>
        <v>100</v>
      </c>
      <c r="I176">
        <v>100</v>
      </c>
      <c r="J176" s="71">
        <f t="shared" si="83"/>
        <v>2.8571428571428574E-2</v>
      </c>
      <c r="K176" s="71">
        <f t="shared" si="84"/>
        <v>84.557142857142864</v>
      </c>
      <c r="L176" s="72">
        <f t="shared" si="85"/>
        <v>20.634907542503854</v>
      </c>
      <c r="M176" s="73">
        <f t="shared" si="86"/>
        <v>0.37657076918962384</v>
      </c>
      <c r="N176" s="73">
        <f t="shared" si="87"/>
        <v>0.93584500412067539</v>
      </c>
      <c r="O176" s="74">
        <f t="shared" si="88"/>
        <v>6.4154995879324588</v>
      </c>
      <c r="P176" s="75">
        <f t="shared" si="89"/>
        <v>1.0685530142244066</v>
      </c>
      <c r="Q176" s="37">
        <f t="shared" si="90"/>
        <v>2.1371060284488132E-2</v>
      </c>
      <c r="R176" s="43">
        <f t="shared" si="91"/>
        <v>84.542742120568974</v>
      </c>
      <c r="S176" s="76">
        <f t="shared" si="92"/>
        <v>0.35241187304398947</v>
      </c>
      <c r="T176">
        <v>317</v>
      </c>
      <c r="U176" s="44">
        <f t="shared" si="93"/>
        <v>899.51566404923813</v>
      </c>
      <c r="V176">
        <v>41.5</v>
      </c>
      <c r="W176" s="77">
        <f t="shared" si="94"/>
        <v>172.61222054726559</v>
      </c>
      <c r="X176">
        <v>1.44</v>
      </c>
      <c r="Y176" s="47">
        <f t="shared" si="95"/>
        <v>8.727318318337856</v>
      </c>
      <c r="Z176">
        <v>84.5</v>
      </c>
    </row>
    <row r="177" spans="1:26" ht="15" customHeight="1" thickBot="1">
      <c r="A177">
        <v>85</v>
      </c>
      <c r="B177" t="s">
        <v>167</v>
      </c>
      <c r="C177">
        <v>0.02</v>
      </c>
      <c r="D177">
        <v>100</v>
      </c>
      <c r="E177" s="37">
        <f t="shared" si="80"/>
        <v>85.028571428571425</v>
      </c>
      <c r="F177">
        <v>30</v>
      </c>
      <c r="G177" s="71">
        <f t="shared" si="81"/>
        <v>1.4285714285714286</v>
      </c>
      <c r="H177" s="39">
        <f t="shared" si="82"/>
        <v>100</v>
      </c>
      <c r="I177">
        <v>100</v>
      </c>
      <c r="J177" s="71">
        <f t="shared" si="83"/>
        <v>2.8571428571428574E-2</v>
      </c>
      <c r="K177" s="71">
        <f t="shared" si="84"/>
        <v>85.057142857142864</v>
      </c>
      <c r="L177" s="72">
        <f t="shared" si="85"/>
        <v>20.52370903478937</v>
      </c>
      <c r="M177" s="73">
        <f t="shared" si="86"/>
        <v>0.37435639134660692</v>
      </c>
      <c r="N177" s="73">
        <f t="shared" si="87"/>
        <v>0.93652719513475968</v>
      </c>
      <c r="O177" s="74">
        <f t="shared" si="88"/>
        <v>6.3472804865240278</v>
      </c>
      <c r="P177" s="75">
        <f t="shared" si="89"/>
        <v>1.0677746521350158</v>
      </c>
      <c r="Q177" s="37">
        <f t="shared" si="90"/>
        <v>2.1355493042700315E-2</v>
      </c>
      <c r="R177" s="43">
        <f t="shared" si="91"/>
        <v>85.042710986085396</v>
      </c>
      <c r="S177" s="76">
        <f t="shared" si="92"/>
        <v>0.35059494116860823</v>
      </c>
      <c r="T177">
        <v>318</v>
      </c>
      <c r="U177" s="44">
        <f t="shared" si="93"/>
        <v>907.02963066163397</v>
      </c>
      <c r="V177">
        <v>41.5</v>
      </c>
      <c r="W177" s="77">
        <f t="shared" si="94"/>
        <v>173.16558628693014</v>
      </c>
      <c r="X177">
        <v>1.44</v>
      </c>
      <c r="Y177" s="47">
        <f t="shared" si="95"/>
        <v>8.7661596207944346</v>
      </c>
      <c r="Z177">
        <v>85</v>
      </c>
    </row>
    <row r="178" spans="1:26" ht="15" customHeight="1" thickBot="1">
      <c r="A178">
        <v>85.5</v>
      </c>
      <c r="B178" t="s">
        <v>167</v>
      </c>
      <c r="C178">
        <v>0.02</v>
      </c>
      <c r="D178">
        <v>100</v>
      </c>
      <c r="E178" s="37">
        <f t="shared" si="80"/>
        <v>85.528571428571425</v>
      </c>
      <c r="F178">
        <v>30</v>
      </c>
      <c r="G178" s="71">
        <f t="shared" si="81"/>
        <v>1.4285714285714286</v>
      </c>
      <c r="H178" s="39">
        <f t="shared" si="82"/>
        <v>100</v>
      </c>
      <c r="I178">
        <v>100</v>
      </c>
      <c r="J178" s="71">
        <f t="shared" si="83"/>
        <v>2.8571428571428574E-2</v>
      </c>
      <c r="K178" s="71">
        <f t="shared" si="84"/>
        <v>85.557142857142864</v>
      </c>
      <c r="L178" s="72">
        <f t="shared" si="85"/>
        <v>20.41365166893592</v>
      </c>
      <c r="M178" s="73">
        <f t="shared" si="86"/>
        <v>0.3721679040078511</v>
      </c>
      <c r="N178" s="73">
        <f t="shared" si="87"/>
        <v>0.93719891194073368</v>
      </c>
      <c r="O178" s="74">
        <f t="shared" si="88"/>
        <v>6.2801088059266306</v>
      </c>
      <c r="P178" s="75">
        <f t="shared" si="89"/>
        <v>1.0670093480254037</v>
      </c>
      <c r="Q178" s="37">
        <f t="shared" si="90"/>
        <v>2.1340186960508073E-2</v>
      </c>
      <c r="R178" s="43">
        <f t="shared" si="91"/>
        <v>85.542680373921016</v>
      </c>
      <c r="S178" s="76">
        <f t="shared" si="92"/>
        <v>0.3487953546954215</v>
      </c>
      <c r="T178">
        <v>319</v>
      </c>
      <c r="U178" s="44">
        <f t="shared" si="93"/>
        <v>914.57640047574694</v>
      </c>
      <c r="V178">
        <v>41.5</v>
      </c>
      <c r="W178" s="77">
        <f t="shared" si="94"/>
        <v>173.71959357718194</v>
      </c>
      <c r="X178">
        <v>1.44</v>
      </c>
      <c r="Y178" s="47">
        <f t="shared" si="95"/>
        <v>8.8050754626581362</v>
      </c>
      <c r="Z178">
        <v>85.5</v>
      </c>
    </row>
    <row r="179" spans="1:26" ht="15" customHeight="1" thickBot="1">
      <c r="A179">
        <v>86</v>
      </c>
      <c r="B179" t="s">
        <v>167</v>
      </c>
      <c r="C179">
        <v>0.02</v>
      </c>
      <c r="D179">
        <v>100</v>
      </c>
      <c r="E179" s="37">
        <f t="shared" si="80"/>
        <v>86.028571428571425</v>
      </c>
      <c r="F179">
        <v>30</v>
      </c>
      <c r="G179" s="71">
        <f t="shared" si="81"/>
        <v>1.4285714285714286</v>
      </c>
      <c r="H179" s="39">
        <f t="shared" si="82"/>
        <v>100</v>
      </c>
      <c r="I179">
        <v>100</v>
      </c>
      <c r="J179" s="71">
        <f t="shared" si="83"/>
        <v>2.8571428571428574E-2</v>
      </c>
      <c r="K179" s="71">
        <f t="shared" si="84"/>
        <v>86.057142857142864</v>
      </c>
      <c r="L179" s="72">
        <f t="shared" si="85"/>
        <v>20.304718768470465</v>
      </c>
      <c r="M179" s="73">
        <f t="shared" si="86"/>
        <v>0.37000485574476988</v>
      </c>
      <c r="N179" s="73">
        <f t="shared" si="87"/>
        <v>0.93786036058638633</v>
      </c>
      <c r="O179" s="74">
        <f t="shared" si="88"/>
        <v>6.2139639413613708</v>
      </c>
      <c r="P179" s="75">
        <f t="shared" si="89"/>
        <v>1.0662568139405759</v>
      </c>
      <c r="Q179" s="37">
        <f t="shared" si="90"/>
        <v>2.132513627881152E-2</v>
      </c>
      <c r="R179" s="43">
        <f t="shared" si="91"/>
        <v>86.042650272557623</v>
      </c>
      <c r="S179" s="76">
        <f t="shared" si="92"/>
        <v>0.34701288742750369</v>
      </c>
      <c r="T179">
        <v>320</v>
      </c>
      <c r="U179" s="44">
        <f t="shared" si="93"/>
        <v>922.15595326226287</v>
      </c>
      <c r="V179">
        <v>41.5</v>
      </c>
      <c r="W179" s="77">
        <f t="shared" si="94"/>
        <v>174.27423482172483</v>
      </c>
      <c r="X179">
        <v>1.44</v>
      </c>
      <c r="Y179" s="47">
        <f t="shared" si="95"/>
        <v>8.8440645440868</v>
      </c>
      <c r="Z179">
        <v>86</v>
      </c>
    </row>
    <row r="180" spans="1:26" ht="15" customHeight="1" thickBot="1">
      <c r="A180">
        <v>86.5</v>
      </c>
      <c r="B180" t="s">
        <v>167</v>
      </c>
      <c r="C180">
        <v>0.02</v>
      </c>
      <c r="D180">
        <v>100</v>
      </c>
      <c r="E180" s="37">
        <f t="shared" si="80"/>
        <v>86.528571428571425</v>
      </c>
      <c r="F180">
        <v>30</v>
      </c>
      <c r="G180" s="71">
        <f t="shared" si="81"/>
        <v>1.4285714285714286</v>
      </c>
      <c r="H180" s="39">
        <f t="shared" si="82"/>
        <v>100</v>
      </c>
      <c r="I180">
        <v>100</v>
      </c>
      <c r="J180" s="71">
        <f t="shared" si="83"/>
        <v>2.8571428571428574E-2</v>
      </c>
      <c r="K180" s="71">
        <f t="shared" si="84"/>
        <v>86.557142857142864</v>
      </c>
      <c r="L180" s="72">
        <f t="shared" si="85"/>
        <v>20.196893963433752</v>
      </c>
      <c r="M180" s="73">
        <f t="shared" si="86"/>
        <v>0.36786680556298568</v>
      </c>
      <c r="N180" s="73">
        <f t="shared" si="87"/>
        <v>0.93851174226689948</v>
      </c>
      <c r="O180" s="74">
        <f t="shared" si="88"/>
        <v>6.1488257733100511</v>
      </c>
      <c r="P180" s="75">
        <f t="shared" si="89"/>
        <v>1.065516769757809</v>
      </c>
      <c r="Q180" s="37">
        <f t="shared" si="90"/>
        <v>2.1310335395156178E-2</v>
      </c>
      <c r="R180" s="43">
        <f t="shared" si="91"/>
        <v>86.542620670790313</v>
      </c>
      <c r="S180" s="76">
        <f t="shared" si="92"/>
        <v>0.34524731661107644</v>
      </c>
      <c r="T180">
        <v>321</v>
      </c>
      <c r="U180" s="44">
        <f t="shared" si="93"/>
        <v>929.76826916690788</v>
      </c>
      <c r="V180">
        <v>41.5</v>
      </c>
      <c r="W180" s="77">
        <f t="shared" si="94"/>
        <v>174.8295025410201</v>
      </c>
      <c r="X180">
        <v>1.44</v>
      </c>
      <c r="Y180" s="47">
        <f t="shared" si="95"/>
        <v>8.8831255952878827</v>
      </c>
      <c r="Z180">
        <v>86.5</v>
      </c>
    </row>
    <row r="181" spans="1:26" ht="15" customHeight="1" thickBot="1">
      <c r="A181">
        <v>87</v>
      </c>
      <c r="B181" t="s">
        <v>167</v>
      </c>
      <c r="C181">
        <v>0.02</v>
      </c>
      <c r="D181">
        <v>100</v>
      </c>
      <c r="E181" s="37">
        <f t="shared" si="80"/>
        <v>87.028571428571425</v>
      </c>
      <c r="F181">
        <v>30</v>
      </c>
      <c r="G181" s="71">
        <f t="shared" si="81"/>
        <v>1.4285714285714286</v>
      </c>
      <c r="H181" s="39">
        <f t="shared" si="82"/>
        <v>100</v>
      </c>
      <c r="I181">
        <v>100</v>
      </c>
      <c r="J181" s="71">
        <f t="shared" si="83"/>
        <v>2.8571428571428574E-2</v>
      </c>
      <c r="K181" s="71">
        <f t="shared" si="84"/>
        <v>87.057142857142864</v>
      </c>
      <c r="L181" s="72">
        <f t="shared" si="85"/>
        <v>20.090161183818804</v>
      </c>
      <c r="M181" s="73">
        <f t="shared" si="86"/>
        <v>0.3657533226025943</v>
      </c>
      <c r="N181" s="73">
        <f t="shared" si="87"/>
        <v>0.93915325345544798</v>
      </c>
      <c r="O181" s="74">
        <f t="shared" si="88"/>
        <v>6.0846746544551991</v>
      </c>
      <c r="P181" s="75">
        <f t="shared" si="89"/>
        <v>1.0647889429341559</v>
      </c>
      <c r="Q181" s="37">
        <f t="shared" si="90"/>
        <v>2.1295778858683119E-2</v>
      </c>
      <c r="R181" s="43">
        <f t="shared" si="91"/>
        <v>87.042591557717373</v>
      </c>
      <c r="S181" s="76">
        <f t="shared" si="92"/>
        <v>0.34349842288436644</v>
      </c>
      <c r="T181">
        <v>322</v>
      </c>
      <c r="U181" s="44">
        <f t="shared" si="93"/>
        <v>937.41332870222936</v>
      </c>
      <c r="V181">
        <v>41.5</v>
      </c>
      <c r="W181" s="77">
        <f t="shared" si="94"/>
        <v>175.38538937011245</v>
      </c>
      <c r="X181">
        <v>1.44</v>
      </c>
      <c r="Y181" s="47">
        <f t="shared" si="95"/>
        <v>8.9222573756550716</v>
      </c>
      <c r="Z181">
        <v>87</v>
      </c>
    </row>
    <row r="182" spans="1:26" ht="15" customHeight="1" thickBot="1">
      <c r="A182">
        <v>87.5</v>
      </c>
      <c r="B182" t="s">
        <v>167</v>
      </c>
      <c r="C182">
        <v>0.02</v>
      </c>
      <c r="D182">
        <v>100</v>
      </c>
      <c r="E182" s="37">
        <f t="shared" si="80"/>
        <v>87.528571428571425</v>
      </c>
      <c r="F182">
        <v>30</v>
      </c>
      <c r="G182" s="71">
        <f t="shared" si="81"/>
        <v>1.4285714285714286</v>
      </c>
      <c r="H182" s="39">
        <f t="shared" si="82"/>
        <v>100</v>
      </c>
      <c r="I182">
        <v>100</v>
      </c>
      <c r="J182" s="71">
        <f t="shared" si="83"/>
        <v>2.8571428571428574E-2</v>
      </c>
      <c r="K182" s="71">
        <f t="shared" si="84"/>
        <v>87.557142857142864</v>
      </c>
      <c r="L182" s="72">
        <f t="shared" si="85"/>
        <v>19.984504653162755</v>
      </c>
      <c r="M182" s="73">
        <f t="shared" si="86"/>
        <v>0.36366398584870319</v>
      </c>
      <c r="N182" s="73">
        <f t="shared" si="87"/>
        <v>0.93978508602993216</v>
      </c>
      <c r="O182" s="74">
        <f t="shared" si="88"/>
        <v>6.021491397006784</v>
      </c>
      <c r="P182" s="75">
        <f t="shared" si="89"/>
        <v>1.0640730682633432</v>
      </c>
      <c r="Q182" s="37">
        <f t="shared" si="90"/>
        <v>2.1281461365266867E-2</v>
      </c>
      <c r="R182" s="43">
        <f t="shared" si="91"/>
        <v>87.542562922730539</v>
      </c>
      <c r="S182" s="76">
        <f t="shared" si="92"/>
        <v>0.34176599022681153</v>
      </c>
      <c r="T182">
        <v>323</v>
      </c>
      <c r="U182" s="44">
        <f t="shared" si="93"/>
        <v>945.0911127395749</v>
      </c>
      <c r="V182">
        <v>41.5</v>
      </c>
      <c r="W182" s="77">
        <f t="shared" si="94"/>
        <v>175.94188805650217</v>
      </c>
      <c r="X182">
        <v>1.44</v>
      </c>
      <c r="Y182" s="47">
        <f t="shared" si="95"/>
        <v>8.9614586729344481</v>
      </c>
      <c r="Z182">
        <v>87.5</v>
      </c>
    </row>
    <row r="183" spans="1:26" ht="15" customHeight="1" thickBot="1">
      <c r="A183">
        <v>88</v>
      </c>
      <c r="B183" t="s">
        <v>167</v>
      </c>
      <c r="C183">
        <v>0.02</v>
      </c>
      <c r="D183">
        <v>100</v>
      </c>
      <c r="E183" s="37">
        <f t="shared" si="80"/>
        <v>88.028571428571425</v>
      </c>
      <c r="F183">
        <v>30</v>
      </c>
      <c r="G183" s="71">
        <f t="shared" si="81"/>
        <v>1.4285714285714286</v>
      </c>
      <c r="H183" s="39">
        <f t="shared" si="82"/>
        <v>100</v>
      </c>
      <c r="I183">
        <v>100</v>
      </c>
      <c r="J183" s="71">
        <f t="shared" si="83"/>
        <v>2.8571428571428574E-2</v>
      </c>
      <c r="K183" s="71">
        <f t="shared" si="84"/>
        <v>88.057142857142864</v>
      </c>
      <c r="L183" s="72">
        <f t="shared" si="85"/>
        <v>19.879908882288291</v>
      </c>
      <c r="M183" s="73">
        <f t="shared" si="86"/>
        <v>0.36159838385183452</v>
      </c>
      <c r="N183" s="73">
        <f t="shared" si="87"/>
        <v>0.94040742739596384</v>
      </c>
      <c r="O183" s="74">
        <f t="shared" si="88"/>
        <v>5.9592572604036178</v>
      </c>
      <c r="P183" s="75">
        <f t="shared" si="89"/>
        <v>1.0633688876416587</v>
      </c>
      <c r="Q183" s="37">
        <f t="shared" si="90"/>
        <v>2.1267377752833175E-2</v>
      </c>
      <c r="R183" s="43">
        <f t="shared" si="91"/>
        <v>88.04253475550567</v>
      </c>
      <c r="S183" s="76">
        <f t="shared" si="92"/>
        <v>0.34004980590864187</v>
      </c>
      <c r="T183">
        <v>324</v>
      </c>
      <c r="U183" s="44">
        <f t="shared" si="93"/>
        <v>952.80160250127062</v>
      </c>
      <c r="V183">
        <v>41.5</v>
      </c>
      <c r="W183" s="77">
        <f t="shared" si="94"/>
        <v>176.49899145806296</v>
      </c>
      <c r="X183">
        <v>1.44</v>
      </c>
      <c r="Y183" s="47">
        <f t="shared" si="95"/>
        <v>9.0007283024191018</v>
      </c>
      <c r="Z183">
        <v>88</v>
      </c>
    </row>
    <row r="184" spans="1:26" ht="15" customHeight="1" thickBot="1">
      <c r="A184">
        <v>88.5</v>
      </c>
      <c r="B184" t="s">
        <v>167</v>
      </c>
      <c r="C184">
        <v>0.02</v>
      </c>
      <c r="D184">
        <v>100</v>
      </c>
      <c r="E184" s="37">
        <f t="shared" si="80"/>
        <v>88.528571428571425</v>
      </c>
      <c r="F184">
        <v>30</v>
      </c>
      <c r="G184" s="71">
        <f t="shared" si="81"/>
        <v>1.4285714285714286</v>
      </c>
      <c r="H184" s="39">
        <f t="shared" si="82"/>
        <v>100</v>
      </c>
      <c r="I184">
        <v>100</v>
      </c>
      <c r="J184" s="71">
        <f t="shared" si="83"/>
        <v>2.8571428571428574E-2</v>
      </c>
      <c r="K184" s="71">
        <f t="shared" si="84"/>
        <v>88.557142857142864</v>
      </c>
      <c r="L184" s="72">
        <f t="shared" si="85"/>
        <v>19.77635866319125</v>
      </c>
      <c r="M184" s="73">
        <f t="shared" si="86"/>
        <v>0.35955611445780289</v>
      </c>
      <c r="N184" s="73">
        <f t="shared" si="87"/>
        <v>0.94102046060622435</v>
      </c>
      <c r="O184" s="74">
        <f t="shared" si="88"/>
        <v>5.8979539393775582</v>
      </c>
      <c r="P184" s="75">
        <f t="shared" si="89"/>
        <v>1.0626761498424591</v>
      </c>
      <c r="Q184" s="37">
        <f t="shared" si="90"/>
        <v>2.125352299684918E-2</v>
      </c>
      <c r="R184" s="43">
        <f t="shared" si="91"/>
        <v>88.542507045993702</v>
      </c>
      <c r="S184" s="76">
        <f t="shared" si="92"/>
        <v>0.33834966044086601</v>
      </c>
      <c r="T184">
        <v>325</v>
      </c>
      <c r="U184" s="44">
        <f t="shared" si="93"/>
        <v>960.54477955298808</v>
      </c>
      <c r="V184">
        <v>41.5</v>
      </c>
      <c r="W184" s="77">
        <f t="shared" si="94"/>
        <v>177.05669254100374</v>
      </c>
      <c r="X184">
        <v>1.44</v>
      </c>
      <c r="Y184" s="47">
        <f t="shared" si="95"/>
        <v>9.0400651061710544</v>
      </c>
      <c r="Z184">
        <v>88.5</v>
      </c>
    </row>
    <row r="185" spans="1:26" ht="15" customHeight="1" thickBot="1">
      <c r="A185">
        <v>89</v>
      </c>
      <c r="B185" t="s">
        <v>167</v>
      </c>
      <c r="C185">
        <v>0.02</v>
      </c>
      <c r="D185">
        <v>100</v>
      </c>
      <c r="E185" s="37">
        <f t="shared" si="80"/>
        <v>89.028571428571425</v>
      </c>
      <c r="F185">
        <v>30</v>
      </c>
      <c r="G185" s="71">
        <f t="shared" si="81"/>
        <v>1.4285714285714286</v>
      </c>
      <c r="H185" s="39">
        <f t="shared" si="82"/>
        <v>100</v>
      </c>
      <c r="I185">
        <v>100</v>
      </c>
      <c r="J185" s="71">
        <f t="shared" si="83"/>
        <v>2.8571428571428574E-2</v>
      </c>
      <c r="K185" s="71">
        <f t="shared" si="84"/>
        <v>89.057142857142864</v>
      </c>
      <c r="L185" s="72">
        <f t="shared" si="85"/>
        <v>19.673839063070844</v>
      </c>
      <c r="M185" s="73">
        <f t="shared" si="86"/>
        <v>0.35753678454669519</v>
      </c>
      <c r="N185" s="73">
        <f t="shared" si="87"/>
        <v>0.9416243644763076</v>
      </c>
      <c r="O185" s="74">
        <f t="shared" si="88"/>
        <v>5.8375635523692466</v>
      </c>
      <c r="P185" s="75">
        <f t="shared" si="89"/>
        <v>1.0619946102989366</v>
      </c>
      <c r="Q185" s="37">
        <f t="shared" si="90"/>
        <v>2.1239892205978734E-2</v>
      </c>
      <c r="R185" s="43">
        <f t="shared" si="91"/>
        <v>89.042479784411952</v>
      </c>
      <c r="S185" s="76">
        <f t="shared" si="92"/>
        <v>0.33666534752568439</v>
      </c>
      <c r="T185">
        <v>326</v>
      </c>
      <c r="U185" s="44">
        <f t="shared" si="93"/>
        <v>968.32062579630144</v>
      </c>
      <c r="V185">
        <v>41.5</v>
      </c>
      <c r="W185" s="77">
        <f t="shared" si="94"/>
        <v>177.61498437787438</v>
      </c>
      <c r="X185">
        <v>1.44</v>
      </c>
      <c r="Y185" s="47">
        <f t="shared" si="95"/>
        <v>9.0794679522693791</v>
      </c>
      <c r="Z185">
        <v>89</v>
      </c>
    </row>
    <row r="186" spans="1:26" ht="15" customHeight="1" thickBot="1">
      <c r="A186">
        <v>89.5</v>
      </c>
      <c r="B186" t="s">
        <v>167</v>
      </c>
      <c r="C186">
        <v>0.02</v>
      </c>
      <c r="D186">
        <v>100</v>
      </c>
      <c r="E186" s="37">
        <f t="shared" si="80"/>
        <v>89.528571428571425</v>
      </c>
      <c r="F186">
        <v>30</v>
      </c>
      <c r="G186" s="71">
        <f t="shared" si="81"/>
        <v>1.4285714285714286</v>
      </c>
      <c r="H186" s="39">
        <f t="shared" si="82"/>
        <v>100</v>
      </c>
      <c r="I186">
        <v>100</v>
      </c>
      <c r="J186" s="71">
        <f t="shared" si="83"/>
        <v>2.8571428571428574E-2</v>
      </c>
      <c r="K186" s="71">
        <f t="shared" si="84"/>
        <v>89.557142857142864</v>
      </c>
      <c r="L186" s="72">
        <f t="shared" si="85"/>
        <v>19.572335418499311</v>
      </c>
      <c r="M186" s="73">
        <f t="shared" si="86"/>
        <v>0.35554000978059747</v>
      </c>
      <c r="N186" s="73">
        <f t="shared" si="87"/>
        <v>0.94221931369715783</v>
      </c>
      <c r="O186" s="74">
        <f t="shared" si="88"/>
        <v>5.7780686302842099</v>
      </c>
      <c r="P186" s="75">
        <f t="shared" si="89"/>
        <v>1.0613240308948004</v>
      </c>
      <c r="Q186" s="37">
        <f t="shared" si="90"/>
        <v>2.1226480617896008E-2</v>
      </c>
      <c r="R186" s="43">
        <f t="shared" si="91"/>
        <v>89.542452961235796</v>
      </c>
      <c r="S186" s="76">
        <f t="shared" si="92"/>
        <v>0.33499666400735534</v>
      </c>
      <c r="T186">
        <v>327</v>
      </c>
      <c r="U186" s="44">
        <f t="shared" si="93"/>
        <v>976.12912346142127</v>
      </c>
      <c r="V186">
        <v>41.5</v>
      </c>
      <c r="W186" s="77">
        <f t="shared" si="94"/>
        <v>178.17386014561308</v>
      </c>
      <c r="X186">
        <v>1.44</v>
      </c>
      <c r="Y186" s="47">
        <f t="shared" si="95"/>
        <v>9.1189357340835464</v>
      </c>
      <c r="Z186">
        <v>89.5</v>
      </c>
    </row>
    <row r="187" spans="1:26" ht="15" customHeight="1" thickBot="1">
      <c r="A187">
        <v>90</v>
      </c>
      <c r="B187" t="s">
        <v>167</v>
      </c>
      <c r="C187">
        <v>0.02</v>
      </c>
      <c r="D187">
        <v>100</v>
      </c>
      <c r="E187" s="37">
        <f t="shared" si="80"/>
        <v>90.028571428571425</v>
      </c>
      <c r="F187">
        <v>30</v>
      </c>
      <c r="G187" s="71">
        <f t="shared" si="81"/>
        <v>1.4285714285714286</v>
      </c>
      <c r="H187" s="39">
        <f t="shared" si="82"/>
        <v>100</v>
      </c>
      <c r="I187">
        <v>100</v>
      </c>
      <c r="J187" s="71">
        <f t="shared" si="83"/>
        <v>2.8571428571428574E-2</v>
      </c>
      <c r="K187" s="71">
        <f t="shared" si="84"/>
        <v>90.057142857142864</v>
      </c>
      <c r="L187" s="72">
        <f t="shared" si="85"/>
        <v>19.471833329727431</v>
      </c>
      <c r="M187" s="73">
        <f t="shared" si="86"/>
        <v>0.35356541435972777</v>
      </c>
      <c r="N187" s="73">
        <f t="shared" si="87"/>
        <v>0.94280547894421007</v>
      </c>
      <c r="O187" s="74">
        <f t="shared" si="88"/>
        <v>5.7194521055789949</v>
      </c>
      <c r="P187" s="75">
        <f t="shared" si="89"/>
        <v>1.0606641797625513</v>
      </c>
      <c r="Q187" s="37">
        <f t="shared" si="90"/>
        <v>2.1213283595251028E-2</v>
      </c>
      <c r="R187" s="43">
        <f t="shared" si="91"/>
        <v>90.042426567190503</v>
      </c>
      <c r="S187" s="76">
        <f t="shared" si="92"/>
        <v>0.33334340982353122</v>
      </c>
      <c r="T187">
        <v>328</v>
      </c>
      <c r="U187" s="44">
        <f t="shared" si="93"/>
        <v>983.97025510010837</v>
      </c>
      <c r="V187">
        <v>41.5</v>
      </c>
      <c r="W187" s="77">
        <f t="shared" si="94"/>
        <v>178.73331312363553</v>
      </c>
      <c r="X187">
        <v>1.44</v>
      </c>
      <c r="Y187" s="47">
        <f t="shared" si="95"/>
        <v>9.158467369571003</v>
      </c>
      <c r="Z187">
        <v>90</v>
      </c>
    </row>
    <row r="188" spans="1:26" ht="15" customHeight="1" thickBot="1">
      <c r="A188">
        <v>90.5</v>
      </c>
      <c r="B188" t="s">
        <v>167</v>
      </c>
      <c r="C188">
        <v>0.02</v>
      </c>
      <c r="D188">
        <v>100</v>
      </c>
      <c r="E188" s="37">
        <f t="shared" si="80"/>
        <v>90.528571428571425</v>
      </c>
      <c r="F188">
        <v>30</v>
      </c>
      <c r="G188" s="71">
        <f t="shared" si="81"/>
        <v>1.4285714285714286</v>
      </c>
      <c r="H188" s="39">
        <f t="shared" si="82"/>
        <v>100.00000000000001</v>
      </c>
      <c r="I188">
        <v>100</v>
      </c>
      <c r="J188" s="71">
        <f t="shared" si="83"/>
        <v>2.8571428571428574E-2</v>
      </c>
      <c r="K188" s="71">
        <f t="shared" si="84"/>
        <v>90.557142857142864</v>
      </c>
      <c r="L188" s="72">
        <f t="shared" si="85"/>
        <v>19.372318655122875</v>
      </c>
      <c r="M188" s="73">
        <f t="shared" si="86"/>
        <v>0.35161263078665056</v>
      </c>
      <c r="N188" s="73">
        <f t="shared" si="87"/>
        <v>0.9433830269833352</v>
      </c>
      <c r="O188" s="74">
        <f t="shared" si="88"/>
        <v>5.6616973016664787</v>
      </c>
      <c r="P188" s="75">
        <f t="shared" si="89"/>
        <v>1.0600148310890323</v>
      </c>
      <c r="Q188" s="37">
        <f t="shared" si="90"/>
        <v>2.1200296621780645E-2</v>
      </c>
      <c r="R188" s="43">
        <f t="shared" si="91"/>
        <v>90.542400593243556</v>
      </c>
      <c r="S188" s="76">
        <f t="shared" si="92"/>
        <v>0.33170538795708426</v>
      </c>
      <c r="T188">
        <v>329</v>
      </c>
      <c r="U188" s="44">
        <f t="shared" si="93"/>
        <v>991.84400357875927</v>
      </c>
      <c r="V188">
        <v>41.5</v>
      </c>
      <c r="W188" s="77">
        <f t="shared" si="94"/>
        <v>179.29333669196436</v>
      </c>
      <c r="X188">
        <v>1.44</v>
      </c>
      <c r="Y188" s="47">
        <f t="shared" si="95"/>
        <v>9.1980618005979871</v>
      </c>
      <c r="Z188">
        <v>90.5</v>
      </c>
    </row>
    <row r="189" spans="1:26" ht="15" customHeight="1" thickBot="1">
      <c r="A189">
        <v>91</v>
      </c>
      <c r="B189" t="s">
        <v>167</v>
      </c>
      <c r="C189">
        <v>0.02</v>
      </c>
      <c r="D189">
        <v>100</v>
      </c>
      <c r="E189" s="37">
        <f t="shared" si="80"/>
        <v>91.028571428571425</v>
      </c>
      <c r="F189">
        <v>30</v>
      </c>
      <c r="G189" s="71">
        <f t="shared" si="81"/>
        <v>1.4285714285714286</v>
      </c>
      <c r="H189" s="39">
        <f t="shared" si="82"/>
        <v>100</v>
      </c>
      <c r="I189">
        <v>100</v>
      </c>
      <c r="J189" s="71">
        <f t="shared" si="83"/>
        <v>2.8571428571428574E-2</v>
      </c>
      <c r="K189" s="71">
        <f t="shared" si="84"/>
        <v>91.057142857142864</v>
      </c>
      <c r="L189" s="72">
        <f t="shared" si="85"/>
        <v>19.273777505738089</v>
      </c>
      <c r="M189" s="73">
        <f t="shared" si="86"/>
        <v>0.34968129963826183</v>
      </c>
      <c r="N189" s="73">
        <f t="shared" si="87"/>
        <v>0.94395212077369051</v>
      </c>
      <c r="O189" s="74">
        <f t="shared" si="88"/>
        <v>5.6047879226309476</v>
      </c>
      <c r="P189" s="75">
        <f t="shared" si="89"/>
        <v>1.0593757649279616</v>
      </c>
      <c r="Q189" s="37">
        <f t="shared" si="90"/>
        <v>2.1187515298559233E-2</v>
      </c>
      <c r="R189" s="43">
        <f t="shared" si="91"/>
        <v>91.042375030597114</v>
      </c>
      <c r="S189" s="76">
        <f t="shared" si="92"/>
        <v>0.33008240438843761</v>
      </c>
      <c r="T189">
        <v>330</v>
      </c>
      <c r="U189" s="44">
        <f t="shared" si="93"/>
        <v>999.75035207165831</v>
      </c>
      <c r="V189">
        <v>41.5</v>
      </c>
      <c r="W189" s="77">
        <f t="shared" si="94"/>
        <v>179.85392432939796</v>
      </c>
      <c r="X189">
        <v>1.44</v>
      </c>
      <c r="Y189" s="47">
        <f t="shared" si="95"/>
        <v>9.2377179922827732</v>
      </c>
      <c r="Z189">
        <v>91</v>
      </c>
    </row>
    <row r="190" spans="1:26" ht="15" customHeight="1" thickBot="1">
      <c r="A190">
        <v>91.5</v>
      </c>
      <c r="B190" t="s">
        <v>167</v>
      </c>
      <c r="C190">
        <v>0.02</v>
      </c>
      <c r="D190">
        <v>100</v>
      </c>
      <c r="E190" s="37">
        <f t="shared" si="80"/>
        <v>91.528571428571425</v>
      </c>
      <c r="F190">
        <v>30</v>
      </c>
      <c r="G190" s="71">
        <f t="shared" si="81"/>
        <v>1.4285714285714286</v>
      </c>
      <c r="H190" s="39">
        <f t="shared" si="82"/>
        <v>100</v>
      </c>
      <c r="I190">
        <v>100</v>
      </c>
      <c r="J190" s="71">
        <f t="shared" si="83"/>
        <v>2.8571428571428574E-2</v>
      </c>
      <c r="K190" s="71">
        <f t="shared" si="84"/>
        <v>91.557142857142864</v>
      </c>
      <c r="L190" s="72">
        <f t="shared" si="85"/>
        <v>19.176196240004643</v>
      </c>
      <c r="M190" s="73">
        <f t="shared" si="86"/>
        <v>0.34777106934524804</v>
      </c>
      <c r="N190" s="73">
        <f t="shared" si="87"/>
        <v>0.94451291956757111</v>
      </c>
      <c r="O190" s="74">
        <f t="shared" si="88"/>
        <v>5.5487080432428826</v>
      </c>
      <c r="P190" s="75">
        <f t="shared" si="89"/>
        <v>1.0587467670191664</v>
      </c>
      <c r="Q190" s="37">
        <f t="shared" si="90"/>
        <v>2.1174935340383328E-2</v>
      </c>
      <c r="R190" s="43">
        <f t="shared" si="91"/>
        <v>91.542349870680766</v>
      </c>
      <c r="S190" s="76">
        <f t="shared" si="92"/>
        <v>0.32847426804841645</v>
      </c>
      <c r="T190">
        <v>331</v>
      </c>
      <c r="U190" s="44">
        <f t="shared" si="93"/>
        <v>1007.6892840543944</v>
      </c>
      <c r="V190">
        <v>41.5</v>
      </c>
      <c r="W190" s="77">
        <f t="shared" si="94"/>
        <v>180.41506961171783</v>
      </c>
      <c r="X190">
        <v>1.44</v>
      </c>
      <c r="Y190" s="47">
        <f t="shared" si="95"/>
        <v>9.2774349323604408</v>
      </c>
      <c r="Z190">
        <v>91.5</v>
      </c>
    </row>
    <row r="191" spans="1:26" ht="15" customHeight="1" thickBot="1">
      <c r="A191">
        <v>92</v>
      </c>
      <c r="B191" t="s">
        <v>167</v>
      </c>
      <c r="C191">
        <v>0.02</v>
      </c>
      <c r="D191">
        <v>100</v>
      </c>
      <c r="E191" s="37">
        <f t="shared" si="80"/>
        <v>92.028571428571425</v>
      </c>
      <c r="F191">
        <v>30</v>
      </c>
      <c r="G191" s="71">
        <f t="shared" si="81"/>
        <v>1.4285714285714286</v>
      </c>
      <c r="H191" s="39">
        <f t="shared" si="82"/>
        <v>100</v>
      </c>
      <c r="I191">
        <v>100</v>
      </c>
      <c r="J191" s="71">
        <f t="shared" si="83"/>
        <v>2.8571428571428574E-2</v>
      </c>
      <c r="K191" s="71">
        <f t="shared" si="84"/>
        <v>92.057142857142864</v>
      </c>
      <c r="L191" s="72">
        <f t="shared" si="85"/>
        <v>19.079561458551034</v>
      </c>
      <c r="M191" s="73">
        <f t="shared" si="86"/>
        <v>0.34588159597873397</v>
      </c>
      <c r="N191" s="73">
        <f t="shared" si="87"/>
        <v>0.9450655790073581</v>
      </c>
      <c r="O191" s="74">
        <f t="shared" si="88"/>
        <v>5.4934420992641861</v>
      </c>
      <c r="P191" s="75">
        <f t="shared" si="89"/>
        <v>1.0581276286142405</v>
      </c>
      <c r="Q191" s="37">
        <f t="shared" si="90"/>
        <v>2.1162552572284811E-2</v>
      </c>
      <c r="R191" s="43">
        <f t="shared" si="91"/>
        <v>92.04232510514457</v>
      </c>
      <c r="S191" s="76">
        <f t="shared" si="92"/>
        <v>0.32688079077163135</v>
      </c>
      <c r="T191">
        <v>332</v>
      </c>
      <c r="U191" s="44">
        <f t="shared" si="93"/>
        <v>1015.6607832974348</v>
      </c>
      <c r="V191">
        <v>41.5</v>
      </c>
      <c r="W191" s="77">
        <f t="shared" si="94"/>
        <v>180.97676620993363</v>
      </c>
      <c r="X191">
        <v>1.44</v>
      </c>
      <c r="Y191" s="47">
        <f t="shared" si="95"/>
        <v>9.3172116305683605</v>
      </c>
      <c r="Z191">
        <v>92</v>
      </c>
    </row>
    <row r="192" spans="1:26" ht="15" customHeight="1" thickBot="1">
      <c r="A192">
        <v>92.5</v>
      </c>
      <c r="B192" t="s">
        <v>167</v>
      </c>
      <c r="C192">
        <v>0.02</v>
      </c>
      <c r="D192">
        <v>100</v>
      </c>
      <c r="E192" s="37">
        <f t="shared" si="80"/>
        <v>92.528571428571425</v>
      </c>
      <c r="F192">
        <v>30</v>
      </c>
      <c r="G192" s="71">
        <f t="shared" si="81"/>
        <v>1.4285714285714286</v>
      </c>
      <c r="H192" s="39">
        <f t="shared" si="82"/>
        <v>100</v>
      </c>
      <c r="I192">
        <v>100</v>
      </c>
      <c r="J192" s="71">
        <f t="shared" si="83"/>
        <v>2.8571428571428574E-2</v>
      </c>
      <c r="K192" s="71">
        <f t="shared" si="84"/>
        <v>92.557142857142864</v>
      </c>
      <c r="L192" s="72">
        <f t="shared" si="85"/>
        <v>18.983859999140876</v>
      </c>
      <c r="M192" s="73">
        <f t="shared" si="86"/>
        <v>0.34401254304384815</v>
      </c>
      <c r="N192" s="73">
        <f t="shared" si="87"/>
        <v>0.94561025121965159</v>
      </c>
      <c r="O192" s="74">
        <f t="shared" si="88"/>
        <v>5.4389748780348413</v>
      </c>
      <c r="P192" s="75">
        <f t="shared" si="89"/>
        <v>1.057518146308372</v>
      </c>
      <c r="Q192" s="37">
        <f t="shared" si="90"/>
        <v>2.115036292616744E-2</v>
      </c>
      <c r="R192" s="43">
        <f t="shared" si="91"/>
        <v>92.542300725852328</v>
      </c>
      <c r="S192" s="76">
        <f t="shared" si="92"/>
        <v>0.32530178725040448</v>
      </c>
      <c r="T192">
        <v>333</v>
      </c>
      <c r="U192" s="44">
        <f t="shared" si="93"/>
        <v>1023.6648338598575</v>
      </c>
      <c r="V192">
        <v>41.5</v>
      </c>
      <c r="W192" s="77">
        <f t="shared" si="94"/>
        <v>181.53900788856515</v>
      </c>
      <c r="X192">
        <v>1.44</v>
      </c>
      <c r="Y192" s="47">
        <f t="shared" si="95"/>
        <v>9.3570471180515771</v>
      </c>
      <c r="Z192">
        <v>92.5</v>
      </c>
    </row>
    <row r="193" spans="1:26" ht="15" customHeight="1" thickBot="1">
      <c r="A193">
        <v>93</v>
      </c>
      <c r="B193" t="s">
        <v>167</v>
      </c>
      <c r="C193">
        <v>0.02</v>
      </c>
      <c r="D193">
        <v>100</v>
      </c>
      <c r="E193" s="37">
        <f t="shared" si="80"/>
        <v>93.028571428571425</v>
      </c>
      <c r="F193">
        <v>30</v>
      </c>
      <c r="G193" s="71">
        <f t="shared" si="81"/>
        <v>1.4285714285714286</v>
      </c>
      <c r="H193" s="39">
        <f t="shared" si="82"/>
        <v>100</v>
      </c>
      <c r="I193">
        <v>100</v>
      </c>
      <c r="J193" s="71">
        <f t="shared" si="83"/>
        <v>2.8571428571428574E-2</v>
      </c>
      <c r="K193" s="71">
        <f t="shared" si="84"/>
        <v>93.057142857142864</v>
      </c>
      <c r="L193" s="72">
        <f t="shared" si="85"/>
        <v>18.889078931728669</v>
      </c>
      <c r="M193" s="73">
        <f t="shared" si="86"/>
        <v>0.34216358127994534</v>
      </c>
      <c r="N193" s="73">
        <f t="shared" si="87"/>
        <v>0.94614708490667832</v>
      </c>
      <c r="O193" s="74">
        <f t="shared" si="88"/>
        <v>5.3852915093321627</v>
      </c>
      <c r="P193" s="75">
        <f t="shared" si="89"/>
        <v>1.0569181218780939</v>
      </c>
      <c r="Q193" s="37">
        <f t="shared" si="90"/>
        <v>2.1138362437561876E-2</v>
      </c>
      <c r="R193" s="43">
        <f t="shared" si="91"/>
        <v>93.042276724875123</v>
      </c>
      <c r="S193" s="76">
        <f t="shared" si="92"/>
        <v>0.32373707498924953</v>
      </c>
      <c r="T193">
        <v>334</v>
      </c>
      <c r="U193" s="44">
        <f t="shared" si="93"/>
        <v>1031.7014200832305</v>
      </c>
      <c r="V193">
        <v>41.5</v>
      </c>
      <c r="W193" s="77">
        <f t="shared" si="94"/>
        <v>182.10178850395985</v>
      </c>
      <c r="X193">
        <v>1.44</v>
      </c>
      <c r="Y193" s="47">
        <f t="shared" si="95"/>
        <v>9.3969404467874167</v>
      </c>
      <c r="Z193">
        <v>93</v>
      </c>
    </row>
    <row r="194" spans="1:26" ht="15" customHeight="1" thickBot="1">
      <c r="A194">
        <v>93.5</v>
      </c>
      <c r="B194" t="s">
        <v>167</v>
      </c>
      <c r="C194">
        <v>0.02</v>
      </c>
      <c r="D194">
        <v>100</v>
      </c>
      <c r="E194" s="37">
        <f t="shared" si="80"/>
        <v>93.528571428571425</v>
      </c>
      <c r="F194">
        <v>30</v>
      </c>
      <c r="G194" s="71">
        <f t="shared" si="81"/>
        <v>1.4285714285714286</v>
      </c>
      <c r="H194" s="39">
        <f t="shared" si="82"/>
        <v>100</v>
      </c>
      <c r="I194">
        <v>100</v>
      </c>
      <c r="J194" s="71">
        <f t="shared" si="83"/>
        <v>2.8571428571428574E-2</v>
      </c>
      <c r="K194" s="71">
        <f t="shared" si="84"/>
        <v>93.557142857142864</v>
      </c>
      <c r="L194" s="72">
        <f t="shared" si="85"/>
        <v>18.795205553630261</v>
      </c>
      <c r="M194" s="73">
        <f t="shared" si="86"/>
        <v>0.34033438846723757</v>
      </c>
      <c r="N194" s="73">
        <f t="shared" si="87"/>
        <v>0.94667622543505681</v>
      </c>
      <c r="O194" s="74">
        <f t="shared" si="88"/>
        <v>5.3323774564943136</v>
      </c>
      <c r="P194" s="75">
        <f t="shared" si="89"/>
        <v>1.0563273621247196</v>
      </c>
      <c r="Q194" s="37">
        <f t="shared" si="90"/>
        <v>2.1126547242494392E-2</v>
      </c>
      <c r="R194" s="43">
        <f t="shared" si="91"/>
        <v>93.542253094484991</v>
      </c>
      <c r="S194" s="76">
        <f t="shared" si="92"/>
        <v>0.32218647425991281</v>
      </c>
      <c r="T194">
        <v>335</v>
      </c>
      <c r="U194" s="44">
        <f t="shared" si="93"/>
        <v>1039.7705265856391</v>
      </c>
      <c r="V194">
        <v>41.5</v>
      </c>
      <c r="W194" s="77">
        <f t="shared" si="94"/>
        <v>182.6651020026456</v>
      </c>
      <c r="X194">
        <v>1.44</v>
      </c>
      <c r="Y194" s="47">
        <f t="shared" si="95"/>
        <v>9.4368906890285427</v>
      </c>
      <c r="Z194">
        <v>93.5</v>
      </c>
    </row>
    <row r="195" spans="1:26" ht="15" customHeight="1" thickBot="1">
      <c r="A195">
        <v>94</v>
      </c>
      <c r="B195" t="s">
        <v>167</v>
      </c>
      <c r="C195">
        <v>0.02</v>
      </c>
      <c r="D195">
        <v>100</v>
      </c>
      <c r="E195" s="37">
        <f t="shared" si="80"/>
        <v>94.028571428571425</v>
      </c>
      <c r="F195">
        <v>30</v>
      </c>
      <c r="G195" s="71">
        <f t="shared" si="81"/>
        <v>1.4285714285714286</v>
      </c>
      <c r="H195" s="39">
        <f t="shared" si="82"/>
        <v>100</v>
      </c>
      <c r="I195">
        <v>100</v>
      </c>
      <c r="J195" s="71">
        <f t="shared" si="83"/>
        <v>2.8571428571428574E-2</v>
      </c>
      <c r="K195" s="71">
        <f t="shared" si="84"/>
        <v>94.057142857142864</v>
      </c>
      <c r="L195" s="72">
        <f t="shared" si="85"/>
        <v>18.702227384805163</v>
      </c>
      <c r="M195" s="73">
        <f t="shared" si="86"/>
        <v>0.33852464923959352</v>
      </c>
      <c r="N195" s="73">
        <f t="shared" si="87"/>
        <v>0.94719781492200517</v>
      </c>
      <c r="O195" s="74">
        <f t="shared" si="88"/>
        <v>5.2802185077994892</v>
      </c>
      <c r="P195" s="75">
        <f t="shared" si="89"/>
        <v>1.0557456787232378</v>
      </c>
      <c r="Q195" s="37">
        <f t="shared" si="90"/>
        <v>2.1114913574464756E-2</v>
      </c>
      <c r="R195" s="43">
        <f t="shared" si="91"/>
        <v>94.04222982714893</v>
      </c>
      <c r="S195" s="76">
        <f t="shared" si="92"/>
        <v>0.32064980805698112</v>
      </c>
      <c r="T195">
        <v>336</v>
      </c>
      <c r="U195" s="44">
        <f t="shared" si="93"/>
        <v>1047.8721382558604</v>
      </c>
      <c r="V195">
        <v>41.5</v>
      </c>
      <c r="W195" s="77">
        <f t="shared" si="94"/>
        <v>183.22894241971815</v>
      </c>
      <c r="X195">
        <v>1.44</v>
      </c>
      <c r="Y195" s="47">
        <f t="shared" si="95"/>
        <v>9.476896936763751</v>
      </c>
      <c r="Z195">
        <v>94</v>
      </c>
    </row>
    <row r="196" spans="1:26" ht="15" customHeight="1" thickBot="1">
      <c r="A196">
        <v>94.5</v>
      </c>
      <c r="B196" t="s">
        <v>167</v>
      </c>
      <c r="C196">
        <v>0.02</v>
      </c>
      <c r="D196">
        <v>100</v>
      </c>
      <c r="E196" s="37">
        <f t="shared" si="80"/>
        <v>94.528571428571425</v>
      </c>
      <c r="F196">
        <v>30</v>
      </c>
      <c r="G196" s="71">
        <f t="shared" si="81"/>
        <v>1.4285714285714286</v>
      </c>
      <c r="H196" s="39">
        <f t="shared" si="82"/>
        <v>100</v>
      </c>
      <c r="I196">
        <v>100</v>
      </c>
      <c r="J196" s="71">
        <f t="shared" si="83"/>
        <v>2.8571428571428574E-2</v>
      </c>
      <c r="K196" s="71">
        <f t="shared" si="84"/>
        <v>94.557142857142864</v>
      </c>
      <c r="L196" s="72">
        <f t="shared" si="85"/>
        <v>18.610132163248128</v>
      </c>
      <c r="M196" s="73">
        <f t="shared" si="86"/>
        <v>0.33673405490328012</v>
      </c>
      <c r="N196" s="73">
        <f t="shared" si="87"/>
        <v>0.94771199231906667</v>
      </c>
      <c r="O196" s="74">
        <f t="shared" si="88"/>
        <v>5.2288007680933362</v>
      </c>
      <c r="P196" s="75">
        <f t="shared" si="89"/>
        <v>1.0551728880764544</v>
      </c>
      <c r="Q196" s="37">
        <f t="shared" si="90"/>
        <v>2.1103457761529089E-2</v>
      </c>
      <c r="R196" s="43">
        <f t="shared" si="91"/>
        <v>94.542206915523053</v>
      </c>
      <c r="S196" s="76">
        <f t="shared" si="92"/>
        <v>0.31912690205406569</v>
      </c>
      <c r="T196">
        <v>337</v>
      </c>
      <c r="U196" s="44">
        <f t="shared" si="93"/>
        <v>1056.006240247669</v>
      </c>
      <c r="V196">
        <v>41.5</v>
      </c>
      <c r="W196" s="77">
        <f t="shared" si="94"/>
        <v>183.79330387726125</v>
      </c>
      <c r="X196">
        <v>1.44</v>
      </c>
      <c r="Y196" s="47">
        <f t="shared" si="95"/>
        <v>9.5169583011959276</v>
      </c>
      <c r="Z196">
        <v>94.5</v>
      </c>
    </row>
    <row r="197" spans="1:26" ht="15" customHeight="1" thickBot="1">
      <c r="A197">
        <v>95</v>
      </c>
      <c r="B197" t="s">
        <v>167</v>
      </c>
      <c r="C197">
        <v>0.02</v>
      </c>
      <c r="D197">
        <v>100</v>
      </c>
      <c r="E197" s="37">
        <f t="shared" si="80"/>
        <v>95.028571428571425</v>
      </c>
      <c r="F197">
        <v>30</v>
      </c>
      <c r="G197" s="71">
        <f t="shared" si="81"/>
        <v>1.4285714285714286</v>
      </c>
      <c r="H197" s="39">
        <f t="shared" si="82"/>
        <v>100</v>
      </c>
      <c r="I197">
        <v>100</v>
      </c>
      <c r="J197" s="71">
        <f t="shared" si="83"/>
        <v>2.8571428571428574E-2</v>
      </c>
      <c r="K197" s="71">
        <f t="shared" si="84"/>
        <v>95.057142857142864</v>
      </c>
      <c r="L197" s="72">
        <f t="shared" si="85"/>
        <v>18.518907840487191</v>
      </c>
      <c r="M197" s="73">
        <f t="shared" si="86"/>
        <v>0.33496230326142579</v>
      </c>
      <c r="N197" s="73">
        <f t="shared" si="87"/>
        <v>0.94821889349343513</v>
      </c>
      <c r="O197" s="74">
        <f t="shared" si="88"/>
        <v>5.1781106506564925</v>
      </c>
      <c r="P197" s="75">
        <f t="shared" si="89"/>
        <v>1.0546088111741716</v>
      </c>
      <c r="Q197" s="37">
        <f t="shared" si="90"/>
        <v>2.1092176223483434E-2</v>
      </c>
      <c r="R197" s="43">
        <f t="shared" si="91"/>
        <v>95.042184352446966</v>
      </c>
      <c r="S197" s="76">
        <f t="shared" si="92"/>
        <v>0.31761758456056166</v>
      </c>
      <c r="T197">
        <v>338</v>
      </c>
      <c r="U197" s="44">
        <f t="shared" si="93"/>
        <v>1064.1728179742893</v>
      </c>
      <c r="V197">
        <v>41.5</v>
      </c>
      <c r="W197" s="77">
        <f t="shared" si="94"/>
        <v>184.35818058280037</v>
      </c>
      <c r="X197">
        <v>1.44</v>
      </c>
      <c r="Y197" s="47">
        <f t="shared" si="95"/>
        <v>9.5570739122364685</v>
      </c>
      <c r="Z197">
        <v>95</v>
      </c>
    </row>
    <row r="198" spans="1:26" ht="15" customHeight="1" thickBot="1">
      <c r="A198">
        <v>95.5</v>
      </c>
      <c r="B198" t="s">
        <v>167</v>
      </c>
      <c r="C198">
        <v>0.02</v>
      </c>
      <c r="D198">
        <v>100</v>
      </c>
      <c r="E198" s="37">
        <f t="shared" si="80"/>
        <v>95.528571428571425</v>
      </c>
      <c r="F198">
        <v>30</v>
      </c>
      <c r="G198" s="71">
        <f t="shared" si="81"/>
        <v>1.4285714285714286</v>
      </c>
      <c r="H198" s="39">
        <f t="shared" si="82"/>
        <v>100</v>
      </c>
      <c r="I198">
        <v>100</v>
      </c>
      <c r="J198" s="71">
        <f t="shared" si="83"/>
        <v>2.8571428571428574E-2</v>
      </c>
      <c r="K198" s="71">
        <f t="shared" si="84"/>
        <v>95.557142857142864</v>
      </c>
      <c r="L198" s="72">
        <f t="shared" si="85"/>
        <v>18.428542577185723</v>
      </c>
      <c r="M198" s="73">
        <f t="shared" si="86"/>
        <v>0.33320909844399649</v>
      </c>
      <c r="N198" s="73">
        <f t="shared" si="87"/>
        <v>0.94871865130694955</v>
      </c>
      <c r="O198" s="74">
        <f t="shared" si="88"/>
        <v>5.1281348693050433</v>
      </c>
      <c r="P198" s="75">
        <f t="shared" si="89"/>
        <v>1.0540532734572106</v>
      </c>
      <c r="Q198" s="37">
        <f t="shared" si="90"/>
        <v>2.1081065469144213E-2</v>
      </c>
      <c r="R198" s="43">
        <f t="shared" si="91"/>
        <v>95.542162130938294</v>
      </c>
      <c r="S198" s="76">
        <f t="shared" si="92"/>
        <v>0.31612168647899297</v>
      </c>
      <c r="T198">
        <v>339</v>
      </c>
      <c r="U198" s="44">
        <f t="shared" si="93"/>
        <v>1072.3718571029683</v>
      </c>
      <c r="V198">
        <v>41.5</v>
      </c>
      <c r="W198" s="77">
        <f t="shared" si="94"/>
        <v>184.92356682778771</v>
      </c>
      <c r="X198">
        <v>1.44</v>
      </c>
      <c r="Y198" s="47">
        <f t="shared" si="95"/>
        <v>9.5972429180155991</v>
      </c>
      <c r="Z198">
        <v>95.5</v>
      </c>
    </row>
    <row r="199" spans="1:26" ht="15" customHeight="1" thickBot="1">
      <c r="A199">
        <v>96</v>
      </c>
      <c r="B199" t="s">
        <v>167</v>
      </c>
      <c r="C199">
        <v>0.02</v>
      </c>
      <c r="D199">
        <v>100</v>
      </c>
      <c r="E199" s="37">
        <f t="shared" si="80"/>
        <v>96.028571428571425</v>
      </c>
      <c r="F199">
        <v>30</v>
      </c>
      <c r="G199" s="71">
        <f t="shared" si="81"/>
        <v>1.4285714285714286</v>
      </c>
      <c r="H199" s="39">
        <f t="shared" si="82"/>
        <v>100</v>
      </c>
      <c r="I199">
        <v>100</v>
      </c>
      <c r="J199" s="71">
        <f t="shared" si="83"/>
        <v>2.8571428571428574E-2</v>
      </c>
      <c r="K199" s="71">
        <f t="shared" si="84"/>
        <v>96.057142857142864</v>
      </c>
      <c r="L199" s="72">
        <f t="shared" si="85"/>
        <v>18.339024738845815</v>
      </c>
      <c r="M199" s="73">
        <f t="shared" si="86"/>
        <v>0.33147415074308306</v>
      </c>
      <c r="N199" s="73">
        <f t="shared" si="87"/>
        <v>0.94921139569283441</v>
      </c>
      <c r="O199" s="74">
        <f t="shared" si="88"/>
        <v>5.0788604307165599</v>
      </c>
      <c r="P199" s="75">
        <f t="shared" si="89"/>
        <v>1.053506104686085</v>
      </c>
      <c r="Q199" s="37">
        <f t="shared" si="90"/>
        <v>2.1070122093721701E-2</v>
      </c>
      <c r="R199" s="43">
        <f t="shared" si="91"/>
        <v>96.042140244187436</v>
      </c>
      <c r="S199" s="76">
        <f t="shared" si="92"/>
        <v>0.31463904126293885</v>
      </c>
      <c r="T199">
        <v>340</v>
      </c>
      <c r="U199" s="44">
        <f t="shared" si="93"/>
        <v>1080.6033435496881</v>
      </c>
      <c r="V199">
        <v>41.5</v>
      </c>
      <c r="W199" s="77">
        <f t="shared" si="94"/>
        <v>185.48945698611871</v>
      </c>
      <c r="X199">
        <v>1.44</v>
      </c>
      <c r="Y199" s="47">
        <f t="shared" si="95"/>
        <v>9.6374644844079445</v>
      </c>
      <c r="Z199">
        <v>96</v>
      </c>
    </row>
    <row r="200" spans="1:26" ht="15" customHeight="1" thickBot="1">
      <c r="A200">
        <v>96.5</v>
      </c>
      <c r="B200" t="s">
        <v>167</v>
      </c>
      <c r="C200">
        <v>0.02</v>
      </c>
      <c r="D200">
        <v>100</v>
      </c>
      <c r="E200" s="37">
        <f t="shared" si="80"/>
        <v>96.528571428571425</v>
      </c>
      <c r="F200">
        <v>30</v>
      </c>
      <c r="G200" s="71">
        <f t="shared" si="81"/>
        <v>1.4285714285714286</v>
      </c>
      <c r="H200" s="39">
        <f t="shared" si="82"/>
        <v>100</v>
      </c>
      <c r="I200">
        <v>100</v>
      </c>
      <c r="J200" s="71">
        <f t="shared" si="83"/>
        <v>2.8571428571428574E-2</v>
      </c>
      <c r="K200" s="71">
        <f t="shared" si="84"/>
        <v>96.557142857142864</v>
      </c>
      <c r="L200" s="72">
        <f t="shared" si="85"/>
        <v>18.250342891610664</v>
      </c>
      <c r="M200" s="73">
        <f t="shared" si="86"/>
        <v>0.32975717645330832</v>
      </c>
      <c r="N200" s="73">
        <f t="shared" si="87"/>
        <v>0.94969725373025227</v>
      </c>
      <c r="O200" s="74">
        <f t="shared" si="88"/>
        <v>5.0302746269747729</v>
      </c>
      <c r="P200" s="75">
        <f t="shared" si="89"/>
        <v>1.0529671388141504</v>
      </c>
      <c r="Q200" s="37">
        <f t="shared" si="90"/>
        <v>2.1059342776283008E-2</v>
      </c>
      <c r="R200" s="43">
        <f t="shared" si="91"/>
        <v>96.542118685552566</v>
      </c>
      <c r="S200" s="76">
        <f t="shared" si="92"/>
        <v>0.31316948487554919</v>
      </c>
      <c r="T200">
        <v>341</v>
      </c>
      <c r="U200" s="44">
        <f t="shared" si="93"/>
        <v>1088.8672634739953</v>
      </c>
      <c r="V200">
        <v>41.5</v>
      </c>
      <c r="W200" s="77">
        <f t="shared" si="94"/>
        <v>186.05584551267916</v>
      </c>
      <c r="X200">
        <v>1.44</v>
      </c>
      <c r="Y200" s="47">
        <f t="shared" si="95"/>
        <v>9.6777377945729235</v>
      </c>
      <c r="Z200">
        <v>96.5</v>
      </c>
    </row>
    <row r="201" spans="1:26" ht="15" customHeight="1" thickBot="1">
      <c r="A201">
        <v>97</v>
      </c>
      <c r="B201" t="s">
        <v>167</v>
      </c>
      <c r="C201">
        <v>0.02</v>
      </c>
      <c r="D201">
        <v>100</v>
      </c>
      <c r="E201" s="37">
        <f t="shared" ref="E201:E207" si="96">A201+J201</f>
        <v>97.028571428571425</v>
      </c>
      <c r="F201">
        <v>30</v>
      </c>
      <c r="G201" s="71">
        <f t="shared" ref="G201:G232" si="97">100/(100-F201)</f>
        <v>1.4285714285714286</v>
      </c>
      <c r="H201" s="39">
        <f t="shared" ref="H201:H207" si="98">3.1415926*E201*M201</f>
        <v>100</v>
      </c>
      <c r="I201">
        <v>100</v>
      </c>
      <c r="J201" s="71">
        <f t="shared" ref="J201:J207" si="99">G201*C201</f>
        <v>2.8571428571428574E-2</v>
      </c>
      <c r="K201" s="71">
        <f t="shared" ref="K201:K232" si="100">A201+2*J201</f>
        <v>97.057142857142864</v>
      </c>
      <c r="L201" s="72">
        <f t="shared" ref="L201:L207" si="101">ATAN(I201/(3.1415926*(A201+J201)))*180/3.1415926</f>
        <v>18.162485798163406</v>
      </c>
      <c r="M201" s="73">
        <f t="shared" ref="M201:M207" si="102">I201/(3.1415926*(A201+J201))</f>
        <v>0.32805789771716787</v>
      </c>
      <c r="N201" s="73">
        <f t="shared" ref="N201:N207" si="103">COS(L201*3.1415926/180)</f>
        <v>0.9501763497167377</v>
      </c>
      <c r="O201" s="74">
        <f t="shared" ref="O201:O232" si="104">(D201-I201*N201)/D201*100</f>
        <v>4.9823650283262282</v>
      </c>
      <c r="P201" s="75">
        <f t="shared" ref="P201:P232" si="105">100/(100-O201)</f>
        <v>1.0524362138650529</v>
      </c>
      <c r="Q201" s="37">
        <f t="shared" ref="Q201:Q232" si="106">P201*C201</f>
        <v>2.1048724277301058E-2</v>
      </c>
      <c r="R201" s="43">
        <f t="shared" ref="R201:R232" si="107">A201+2*Q201</f>
        <v>97.0420974485546</v>
      </c>
      <c r="S201" s="76">
        <f t="shared" ref="S201:S207" si="108">SIN(L201*3.1415926/180)</f>
        <v>0.31171285574864543</v>
      </c>
      <c r="T201">
        <v>342</v>
      </c>
      <c r="U201" s="44">
        <f t="shared" ref="U201:U232" si="109">T201/S201</f>
        <v>1097.1636032739602</v>
      </c>
      <c r="V201">
        <v>41.5</v>
      </c>
      <c r="W201" s="77">
        <f t="shared" ref="W201:W232" si="110">2*SQRT((1000*U201*C201/3.1415926)+(V201*V201))</f>
        <v>186.62272694192217</v>
      </c>
      <c r="X201">
        <v>1.44</v>
      </c>
      <c r="Y201" s="47">
        <f t="shared" ref="Y201:Y232" si="111">3.14*(A201+Q201)*Q201*X201*P201</f>
        <v>9.7180620485092852</v>
      </c>
      <c r="Z201">
        <v>97</v>
      </c>
    </row>
    <row r="202" spans="1:26" ht="15" customHeight="1" thickBot="1">
      <c r="A202">
        <v>97.5</v>
      </c>
      <c r="B202" t="s">
        <v>167</v>
      </c>
      <c r="C202">
        <v>0.02</v>
      </c>
      <c r="D202">
        <v>100</v>
      </c>
      <c r="E202" s="37">
        <f t="shared" si="96"/>
        <v>97.528571428571425</v>
      </c>
      <c r="F202">
        <v>30</v>
      </c>
      <c r="G202" s="71">
        <f t="shared" si="97"/>
        <v>1.4285714285714286</v>
      </c>
      <c r="H202" s="39">
        <f t="shared" si="98"/>
        <v>100</v>
      </c>
      <c r="I202">
        <v>100</v>
      </c>
      <c r="J202" s="71">
        <f t="shared" si="99"/>
        <v>2.8571428571428574E-2</v>
      </c>
      <c r="K202" s="71">
        <f t="shared" si="100"/>
        <v>97.557142857142864</v>
      </c>
      <c r="L202" s="72">
        <f t="shared" si="101"/>
        <v>18.075442413720179</v>
      </c>
      <c r="M202" s="73">
        <f t="shared" si="102"/>
        <v>0.32637604237512879</v>
      </c>
      <c r="N202" s="73">
        <f t="shared" si="103"/>
        <v>0.95064880523857687</v>
      </c>
      <c r="O202" s="74">
        <f t="shared" si="104"/>
        <v>4.9351194761423187</v>
      </c>
      <c r="P202" s="75">
        <f t="shared" si="105"/>
        <v>1.0519131718143147</v>
      </c>
      <c r="Q202" s="37">
        <f t="shared" si="106"/>
        <v>2.1038263436286293E-2</v>
      </c>
      <c r="R202" s="43">
        <f t="shared" si="107"/>
        <v>97.542076526872577</v>
      </c>
      <c r="S202" s="76">
        <f t="shared" si="108"/>
        <v>0.31026899474241121</v>
      </c>
      <c r="T202">
        <v>343</v>
      </c>
      <c r="U202" s="44">
        <f t="shared" si="109"/>
        <v>1105.4923495812479</v>
      </c>
      <c r="V202">
        <v>41.5</v>
      </c>
      <c r="W202" s="77">
        <f t="shared" si="110"/>
        <v>187.19009588647367</v>
      </c>
      <c r="X202">
        <v>1.44</v>
      </c>
      <c r="Y202" s="47">
        <f t="shared" si="111"/>
        <v>9.7584364626234095</v>
      </c>
      <c r="Z202">
        <v>97.5</v>
      </c>
    </row>
    <row r="203" spans="1:26" ht="15" customHeight="1" thickBot="1">
      <c r="A203">
        <v>98</v>
      </c>
      <c r="B203" t="s">
        <v>167</v>
      </c>
      <c r="C203">
        <v>0.02</v>
      </c>
      <c r="D203">
        <v>100</v>
      </c>
      <c r="E203" s="37">
        <f t="shared" si="96"/>
        <v>98.028571428571425</v>
      </c>
      <c r="F203">
        <v>30</v>
      </c>
      <c r="G203" s="71">
        <f t="shared" si="97"/>
        <v>1.4285714285714286</v>
      </c>
      <c r="H203" s="39">
        <f t="shared" si="98"/>
        <v>100.00000000000001</v>
      </c>
      <c r="I203">
        <v>100</v>
      </c>
      <c r="J203" s="71">
        <f t="shared" si="99"/>
        <v>2.8571428571428574E-2</v>
      </c>
      <c r="K203" s="71">
        <f t="shared" si="100"/>
        <v>98.057142857142864</v>
      </c>
      <c r="L203" s="72">
        <f t="shared" si="101"/>
        <v>17.989201882114987</v>
      </c>
      <c r="M203" s="73">
        <f t="shared" si="102"/>
        <v>0.32471134382031547</v>
      </c>
      <c r="N203" s="73">
        <f t="shared" si="103"/>
        <v>0.9511147392391972</v>
      </c>
      <c r="O203" s="74">
        <f t="shared" si="104"/>
        <v>4.8885260760802822</v>
      </c>
      <c r="P203" s="75">
        <f t="shared" si="105"/>
        <v>1.0513978584748949</v>
      </c>
      <c r="Q203" s="37">
        <f t="shared" si="106"/>
        <v>2.1027957169497898E-2</v>
      </c>
      <c r="R203" s="43">
        <f t="shared" si="107"/>
        <v>98.042055914339002</v>
      </c>
      <c r="S203" s="76">
        <f t="shared" si="108"/>
        <v>0.30883774510566864</v>
      </c>
      <c r="T203">
        <v>344</v>
      </c>
      <c r="U203" s="44">
        <f t="shared" si="109"/>
        <v>1113.8534892563105</v>
      </c>
      <c r="V203">
        <v>41.5</v>
      </c>
      <c r="W203" s="77">
        <f t="shared" si="110"/>
        <v>187.75794703576736</v>
      </c>
      <c r="X203">
        <v>1.44</v>
      </c>
      <c r="Y203" s="47">
        <f t="shared" si="111"/>
        <v>9.7988602693107687</v>
      </c>
      <c r="Z203">
        <v>98</v>
      </c>
    </row>
    <row r="204" spans="1:26" ht="15" customHeight="1" thickBot="1">
      <c r="A204">
        <v>98.5</v>
      </c>
      <c r="B204" t="s">
        <v>167</v>
      </c>
      <c r="C204">
        <v>0.02</v>
      </c>
      <c r="D204">
        <v>100</v>
      </c>
      <c r="E204" s="37">
        <f t="shared" si="96"/>
        <v>98.528571428571425</v>
      </c>
      <c r="F204">
        <v>30</v>
      </c>
      <c r="G204" s="71">
        <f t="shared" si="97"/>
        <v>1.4285714285714286</v>
      </c>
      <c r="H204" s="39">
        <f t="shared" si="98"/>
        <v>99.999999999999986</v>
      </c>
      <c r="I204">
        <v>100</v>
      </c>
      <c r="J204" s="71">
        <f t="shared" si="99"/>
        <v>2.8571428571428574E-2</v>
      </c>
      <c r="K204" s="71">
        <f t="shared" si="100"/>
        <v>98.557142857142864</v>
      </c>
      <c r="L204" s="72">
        <f t="shared" si="101"/>
        <v>17.903753531974161</v>
      </c>
      <c r="M204" s="73">
        <f t="shared" si="102"/>
        <v>0.32306354085761985</v>
      </c>
      <c r="N204" s="73">
        <f t="shared" si="103"/>
        <v>0.95157426808562717</v>
      </c>
      <c r="O204" s="74">
        <f t="shared" si="104"/>
        <v>4.8425731914372818</v>
      </c>
      <c r="P204" s="75">
        <f t="shared" si="105"/>
        <v>1.0508901233865808</v>
      </c>
      <c r="Q204" s="37">
        <f t="shared" si="106"/>
        <v>2.1017802467731616E-2</v>
      </c>
      <c r="R204" s="43">
        <f t="shared" si="107"/>
        <v>98.542035604935464</v>
      </c>
      <c r="S204" s="76">
        <f t="shared" si="108"/>
        <v>0.30741895243674072</v>
      </c>
      <c r="T204">
        <v>345</v>
      </c>
      <c r="U204" s="44">
        <f t="shared" si="109"/>
        <v>1122.2470093836928</v>
      </c>
      <c r="V204">
        <v>41.5</v>
      </c>
      <c r="W204" s="77">
        <f t="shared" si="110"/>
        <v>188.32627515470668</v>
      </c>
      <c r="X204">
        <v>1.44</v>
      </c>
      <c r="Y204" s="47">
        <f t="shared" si="111"/>
        <v>9.8393327165501834</v>
      </c>
      <c r="Z204">
        <v>98.5</v>
      </c>
    </row>
    <row r="205" spans="1:26" ht="15" customHeight="1" thickBot="1">
      <c r="A205">
        <v>99</v>
      </c>
      <c r="B205" t="s">
        <v>167</v>
      </c>
      <c r="C205">
        <v>0.02</v>
      </c>
      <c r="D205">
        <v>100</v>
      </c>
      <c r="E205" s="37">
        <f t="shared" si="96"/>
        <v>99.028571428571425</v>
      </c>
      <c r="F205">
        <v>30</v>
      </c>
      <c r="G205" s="71">
        <f t="shared" si="97"/>
        <v>1.4285714285714286</v>
      </c>
      <c r="H205" s="39">
        <f t="shared" si="98"/>
        <v>100</v>
      </c>
      <c r="I205">
        <v>100</v>
      </c>
      <c r="J205" s="71">
        <f t="shared" si="99"/>
        <v>2.8571428571428574E-2</v>
      </c>
      <c r="K205" s="71">
        <f t="shared" si="100"/>
        <v>99.057142857142864</v>
      </c>
      <c r="L205" s="72">
        <f t="shared" si="101"/>
        <v>17.819086872978339</v>
      </c>
      <c r="M205" s="73">
        <f t="shared" si="102"/>
        <v>0.32143237756708082</v>
      </c>
      <c r="N205" s="73">
        <f t="shared" si="103"/>
        <v>0.95202750563308502</v>
      </c>
      <c r="O205" s="74">
        <f t="shared" si="104"/>
        <v>4.7972494366915015</v>
      </c>
      <c r="P205" s="75">
        <f t="shared" si="105"/>
        <v>1.0503898197090575</v>
      </c>
      <c r="Q205" s="37">
        <f t="shared" si="106"/>
        <v>2.1007796394181152E-2</v>
      </c>
      <c r="R205" s="43">
        <f t="shared" si="107"/>
        <v>99.04201559278836</v>
      </c>
      <c r="S205" s="76">
        <f t="shared" si="108"/>
        <v>0.30601246464490001</v>
      </c>
      <c r="T205">
        <v>346</v>
      </c>
      <c r="U205" s="44">
        <f t="shared" si="109"/>
        <v>1130.6728972674427</v>
      </c>
      <c r="V205">
        <v>41.5</v>
      </c>
      <c r="W205" s="77">
        <f t="shared" si="110"/>
        <v>188.89507508235425</v>
      </c>
      <c r="X205">
        <v>1.44</v>
      </c>
      <c r="Y205" s="47">
        <f t="shared" si="111"/>
        <v>9.8798530675103358</v>
      </c>
      <c r="Z205">
        <v>99</v>
      </c>
    </row>
    <row r="206" spans="1:26" ht="15" customHeight="1" thickBot="1">
      <c r="A206">
        <v>99.5</v>
      </c>
      <c r="B206" t="s">
        <v>167</v>
      </c>
      <c r="C206">
        <v>0.02</v>
      </c>
      <c r="D206">
        <v>100</v>
      </c>
      <c r="E206" s="37">
        <f t="shared" si="96"/>
        <v>99.528571428571425</v>
      </c>
      <c r="F206">
        <v>30</v>
      </c>
      <c r="G206" s="71">
        <f t="shared" si="97"/>
        <v>1.4285714285714286</v>
      </c>
      <c r="H206" s="39">
        <f t="shared" si="98"/>
        <v>100</v>
      </c>
      <c r="I206">
        <v>100</v>
      </c>
      <c r="J206" s="71">
        <f t="shared" si="99"/>
        <v>2.8571428571428574E-2</v>
      </c>
      <c r="K206" s="71">
        <f t="shared" si="100"/>
        <v>99.557142857142864</v>
      </c>
      <c r="L206" s="72">
        <f t="shared" si="101"/>
        <v>17.735191592209581</v>
      </c>
      <c r="M206" s="73">
        <f t="shared" si="102"/>
        <v>0.31981760317138003</v>
      </c>
      <c r="N206" s="73">
        <f t="shared" si="103"/>
        <v>0.95247456328775604</v>
      </c>
      <c r="O206" s="74">
        <f t="shared" si="104"/>
        <v>4.7525436712244016</v>
      </c>
      <c r="P206" s="75">
        <f t="shared" si="105"/>
        <v>1.0498968041185222</v>
      </c>
      <c r="Q206" s="37">
        <f t="shared" si="106"/>
        <v>2.0997936082370442E-2</v>
      </c>
      <c r="R206" s="43">
        <f t="shared" si="107"/>
        <v>99.541995872164748</v>
      </c>
      <c r="S206" s="76">
        <f t="shared" si="108"/>
        <v>0.30461813191239706</v>
      </c>
      <c r="T206">
        <v>347</v>
      </c>
      <c r="U206" s="44">
        <f t="shared" si="109"/>
        <v>1139.1311404266351</v>
      </c>
      <c r="V206">
        <v>41.5</v>
      </c>
      <c r="W206" s="77">
        <f t="shared" si="110"/>
        <v>189.46434173064799</v>
      </c>
      <c r="X206">
        <v>1.44</v>
      </c>
      <c r="Y206" s="47">
        <f t="shared" si="111"/>
        <v>9.920420600168173</v>
      </c>
      <c r="Z206">
        <v>99.5</v>
      </c>
    </row>
    <row r="207" spans="1:26">
      <c r="A207">
        <v>100</v>
      </c>
      <c r="B207" t="s">
        <v>167</v>
      </c>
      <c r="C207">
        <v>0.02</v>
      </c>
      <c r="D207">
        <v>100</v>
      </c>
      <c r="E207" s="37">
        <f t="shared" si="96"/>
        <v>100.02857142857142</v>
      </c>
      <c r="F207">
        <v>30</v>
      </c>
      <c r="G207" s="71">
        <f t="shared" si="97"/>
        <v>1.4285714285714286</v>
      </c>
      <c r="H207" s="39">
        <f t="shared" si="98"/>
        <v>100</v>
      </c>
      <c r="I207">
        <v>100</v>
      </c>
      <c r="J207" s="71">
        <f t="shared" si="99"/>
        <v>2.8571428571428574E-2</v>
      </c>
      <c r="K207" s="71">
        <f t="shared" si="100"/>
        <v>100.05714285714286</v>
      </c>
      <c r="L207" s="72">
        <f t="shared" si="101"/>
        <v>17.652057550581787</v>
      </c>
      <c r="M207" s="73">
        <f t="shared" si="102"/>
        <v>0.3182189719073128</v>
      </c>
      <c r="N207" s="73">
        <f t="shared" si="103"/>
        <v>0.95291555006780959</v>
      </c>
      <c r="O207" s="74">
        <f t="shared" si="104"/>
        <v>4.7084449932190466</v>
      </c>
      <c r="P207" s="75">
        <f t="shared" si="105"/>
        <v>1.0494109367077071</v>
      </c>
      <c r="Q207" s="37">
        <f t="shared" si="106"/>
        <v>2.0988218734154143E-2</v>
      </c>
      <c r="R207" s="43">
        <f t="shared" si="107"/>
        <v>100.04197643746831</v>
      </c>
      <c r="S207" s="76">
        <f t="shared" si="108"/>
        <v>0.30323580665706978</v>
      </c>
      <c r="T207">
        <v>348</v>
      </c>
      <c r="U207" s="44">
        <f t="shared" si="109"/>
        <v>1147.6217265909966</v>
      </c>
      <c r="V207">
        <v>41.5</v>
      </c>
      <c r="W207" s="77">
        <f t="shared" si="110"/>
        <v>190.03407008314284</v>
      </c>
      <c r="X207">
        <v>1.44</v>
      </c>
      <c r="Y207" s="47">
        <f t="shared" si="111"/>
        <v>9.9610346069387425</v>
      </c>
      <c r="Z207">
        <v>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6"/>
  <dimension ref="B2:K22"/>
  <sheetViews>
    <sheetView workbookViewId="0">
      <selection activeCell="E27" sqref="E27"/>
    </sheetView>
  </sheetViews>
  <sheetFormatPr defaultRowHeight="15"/>
  <cols>
    <col min="2" max="2" width="13" customWidth="1"/>
    <col min="3" max="3" width="47.5703125" bestFit="1" customWidth="1"/>
    <col min="4" max="4" width="24.28515625" customWidth="1"/>
    <col min="5" max="5" width="16.7109375" customWidth="1"/>
    <col min="6" max="6" width="22.42578125" customWidth="1"/>
    <col min="7" max="7" width="16.7109375" customWidth="1"/>
    <col min="8" max="8" width="22.140625" customWidth="1"/>
    <col min="9" max="9" width="24.7109375" customWidth="1"/>
    <col min="10" max="10" width="19.5703125" customWidth="1"/>
    <col min="11" max="11" width="17.140625" customWidth="1"/>
  </cols>
  <sheetData>
    <row r="2" spans="2:11">
      <c r="B2" t="s">
        <v>12</v>
      </c>
      <c r="C2" t="s">
        <v>6</v>
      </c>
    </row>
    <row r="3" spans="2:11">
      <c r="B3" t="s">
        <v>168</v>
      </c>
      <c r="C3">
        <v>0.3</v>
      </c>
    </row>
    <row r="5" spans="2:11" s="2" customFormat="1" ht="43.15" customHeight="1">
      <c r="B5" s="2" t="s">
        <v>169</v>
      </c>
      <c r="C5" s="2" t="s">
        <v>170</v>
      </c>
      <c r="D5" s="2" t="s">
        <v>171</v>
      </c>
      <c r="E5" s="2" t="s">
        <v>172</v>
      </c>
      <c r="F5" s="2" t="s">
        <v>173</v>
      </c>
      <c r="G5" s="2" t="s">
        <v>174</v>
      </c>
      <c r="H5" s="2" t="s">
        <v>175</v>
      </c>
      <c r="I5" s="2" t="s">
        <v>176</v>
      </c>
      <c r="J5" s="2" t="s">
        <v>177</v>
      </c>
      <c r="K5" s="2" t="s">
        <v>178</v>
      </c>
    </row>
    <row r="6" spans="2:11">
      <c r="B6">
        <v>1</v>
      </c>
      <c r="C6" t="s">
        <v>179</v>
      </c>
      <c r="D6" s="78">
        <f>(173.337161047654+0+0)*C3</f>
        <v>52.001148314296202</v>
      </c>
      <c r="E6" s="78">
        <f>4*D6/3.14159/64/8.9*1000/10/60</f>
        <v>0.19373236871071212</v>
      </c>
      <c r="F6" s="78">
        <f>E6*3.47222222222222</f>
        <v>0.67268183580108332</v>
      </c>
      <c r="G6" s="78">
        <f>E6*150*8/1000</f>
        <v>0.23247884245285452</v>
      </c>
      <c r="H6" s="78">
        <f t="shared" ref="H6:H11" si="0">E6*0.244125</f>
        <v>4.7294914511502598E-2</v>
      </c>
      <c r="I6" s="78">
        <f>D6*0.000186276852869728</f>
        <v>9.6866102535990584E-3</v>
      </c>
      <c r="J6" s="78">
        <f t="shared" ref="J6:J11" si="1">SUM(F6:I6)*100/100</f>
        <v>0.96214220301903952</v>
      </c>
      <c r="K6" s="78">
        <f t="shared" ref="K6:K11" si="2">SUM(F6:J6)</f>
        <v>1.924284406038079</v>
      </c>
    </row>
    <row r="7" spans="2:11" s="2" customFormat="1">
      <c r="B7">
        <v>2</v>
      </c>
      <c r="C7" t="s">
        <v>180</v>
      </c>
      <c r="D7" s="78">
        <f>(173.337161047654+0+0)*C3</f>
        <v>52.001148314296202</v>
      </c>
      <c r="E7" s="78">
        <f>4*D7/3.14159/1.2/1.2/8.9*1000/1200/60</f>
        <v>7.1752729152115627E-2</v>
      </c>
      <c r="F7" s="78">
        <f>E7*4.34027777777778</f>
        <v>0.31142677583383538</v>
      </c>
      <c r="G7" s="78">
        <f>E7*250*8/1000</f>
        <v>0.14350545830423125</v>
      </c>
      <c r="H7" s="78">
        <f t="shared" si="0"/>
        <v>1.7516635004260227E-2</v>
      </c>
      <c r="I7" s="78">
        <f>D7*0.000051743570241591</f>
        <v>2.6907250704441771E-3</v>
      </c>
      <c r="J7" s="78">
        <f t="shared" si="1"/>
        <v>0.47513959421277091</v>
      </c>
      <c r="K7" s="78">
        <f t="shared" si="2"/>
        <v>0.95027918842554193</v>
      </c>
    </row>
    <row r="8" spans="2:11">
      <c r="B8">
        <v>3</v>
      </c>
      <c r="C8" t="s">
        <v>181</v>
      </c>
      <c r="D8" s="78">
        <f>(173.337161047654)*C3</f>
        <v>52.001148314296202</v>
      </c>
      <c r="E8" s="78">
        <f>4*D8/3.14159/0.3/0.3/8.9*1000/1800/60</f>
        <v>0.76536244428923328</v>
      </c>
      <c r="F8" s="78">
        <f>E8*1.30208333333333</f>
        <v>0.99656568266826995</v>
      </c>
      <c r="G8" s="78">
        <f>E8*75*8/1000</f>
        <v>0.45921746657353996</v>
      </c>
      <c r="H8" s="78">
        <f t="shared" si="0"/>
        <v>0.18684410671210908</v>
      </c>
      <c r="I8" s="78">
        <f>D8*0.000034495713494394</f>
        <v>1.7938167136294513E-3</v>
      </c>
      <c r="J8" s="78">
        <f t="shared" si="1"/>
        <v>1.6444210726675486</v>
      </c>
      <c r="K8" s="78">
        <f t="shared" si="2"/>
        <v>3.2888421453350971</v>
      </c>
    </row>
    <row r="9" spans="2:11">
      <c r="B9">
        <v>4</v>
      </c>
      <c r="C9" t="s">
        <v>182</v>
      </c>
      <c r="D9" s="78">
        <f>(0+0)*C3</f>
        <v>0</v>
      </c>
      <c r="E9" s="78">
        <f>4*D9/3.14159/0.2/0.2/8.9*1000/1800/60</f>
        <v>0</v>
      </c>
      <c r="F9" s="78">
        <f>E9*1.30208333333333</f>
        <v>0</v>
      </c>
      <c r="G9" s="78">
        <f>E9*75*8/1000</f>
        <v>0</v>
      </c>
      <c r="H9" s="78">
        <f t="shared" si="0"/>
        <v>0</v>
      </c>
      <c r="I9" s="78">
        <f>D9*0.000034495713494394</f>
        <v>0</v>
      </c>
      <c r="J9" s="78">
        <f t="shared" si="1"/>
        <v>0</v>
      </c>
      <c r="K9" s="78">
        <f t="shared" si="2"/>
        <v>0</v>
      </c>
    </row>
    <row r="10" spans="2:11">
      <c r="B10">
        <v>5</v>
      </c>
      <c r="C10" t="s">
        <v>183</v>
      </c>
      <c r="D10" s="78">
        <f>(52.0011483142962)</f>
        <v>52.001148314296202</v>
      </c>
      <c r="E10" s="78">
        <f>4*D10/3.14159/0.3/0.3/8.9*1000/7/1.03/300/60</f>
        <v>0.63691742936690698</v>
      </c>
      <c r="F10" s="78">
        <f>E10*2.17013888888889</f>
        <v>1.3821992824802678</v>
      </c>
      <c r="G10" s="78">
        <f>E10*20*8/1000</f>
        <v>0.10190678869870512</v>
      </c>
      <c r="H10" s="78">
        <f t="shared" si="0"/>
        <v>0.15548746744419617</v>
      </c>
      <c r="I10" s="78">
        <f>E10*0.0625</f>
        <v>3.9807339335431687E-2</v>
      </c>
      <c r="J10" s="78">
        <f t="shared" si="1"/>
        <v>1.6794008779586007</v>
      </c>
      <c r="K10" s="78">
        <f t="shared" si="2"/>
        <v>3.3588017559172014</v>
      </c>
    </row>
    <row r="11" spans="2:11">
      <c r="B11">
        <v>6</v>
      </c>
      <c r="C11" t="s">
        <v>184</v>
      </c>
      <c r="D11" s="78">
        <f>(0)</f>
        <v>0</v>
      </c>
      <c r="E11" s="78">
        <f>4*D11/3.14159/0.2/0.2/8.9*1000/7/1.03/300/60</f>
        <v>0</v>
      </c>
      <c r="F11" s="78">
        <f>E11*2.17013888888889</f>
        <v>0</v>
      </c>
      <c r="G11" s="78">
        <f>E11*20*8/1000</f>
        <v>0</v>
      </c>
      <c r="H11" s="78">
        <f t="shared" si="0"/>
        <v>0</v>
      </c>
      <c r="I11" s="78">
        <f>E11*0.0625</f>
        <v>0</v>
      </c>
      <c r="J11" s="78">
        <f t="shared" si="1"/>
        <v>0</v>
      </c>
      <c r="K11" s="78">
        <f t="shared" si="2"/>
        <v>0</v>
      </c>
    </row>
    <row r="12" spans="2:11">
      <c r="B12">
        <v>7</v>
      </c>
      <c r="C12" t="s">
        <v>185</v>
      </c>
      <c r="D12" s="78">
        <f>(0+0)</f>
        <v>0</v>
      </c>
      <c r="E12" s="78">
        <v>0</v>
      </c>
      <c r="F12" s="78">
        <v>0</v>
      </c>
      <c r="G12" s="78">
        <v>0</v>
      </c>
      <c r="H12" s="78">
        <v>0</v>
      </c>
      <c r="I12" s="78">
        <v>0</v>
      </c>
      <c r="J12" s="78">
        <v>0</v>
      </c>
      <c r="K12" s="78">
        <v>0</v>
      </c>
    </row>
    <row r="13" spans="2:11">
      <c r="B13">
        <v>8</v>
      </c>
      <c r="C13" t="s">
        <v>186</v>
      </c>
      <c r="D13" s="78">
        <f>(187.135888250377)</f>
        <v>187.13588825037701</v>
      </c>
      <c r="E13" s="78">
        <f>4*D10/3.14159/0.3/0.3/8.9*1000/7/1.03/80/60</f>
        <v>2.3884403601259012</v>
      </c>
      <c r="F13" s="78">
        <f>E13*2.17013888888889</f>
        <v>5.1832473093010041</v>
      </c>
      <c r="G13" s="78">
        <f>E13*50*8/1000</f>
        <v>0.95537614405036053</v>
      </c>
      <c r="H13" s="78">
        <f>E13*0.3255</f>
        <v>0.77743733722098085</v>
      </c>
      <c r="I13" s="78">
        <f>E13*0.03125</f>
        <v>7.4638761253934413E-2</v>
      </c>
      <c r="J13" s="78">
        <f>SUM(F13:I13)*100/100</f>
        <v>6.9906995518262791</v>
      </c>
      <c r="K13" s="78">
        <f>SUM(F13:J13)</f>
        <v>13.98139910365256</v>
      </c>
    </row>
    <row r="14" spans="2:11">
      <c r="B14">
        <v>9</v>
      </c>
      <c r="C14" t="s">
        <v>44</v>
      </c>
      <c r="D14" s="78"/>
      <c r="E14" s="78">
        <v>0</v>
      </c>
      <c r="F14" s="78">
        <v>0</v>
      </c>
      <c r="G14" s="78">
        <v>0</v>
      </c>
      <c r="H14" s="78">
        <v>0</v>
      </c>
      <c r="I14" s="78">
        <v>0</v>
      </c>
      <c r="J14" s="78">
        <v>0</v>
      </c>
      <c r="K14" s="78">
        <v>0</v>
      </c>
    </row>
    <row r="15" spans="2:11">
      <c r="B15">
        <v>10</v>
      </c>
      <c r="C15" t="s">
        <v>187</v>
      </c>
      <c r="D15" s="78">
        <v>0</v>
      </c>
      <c r="E15" s="78">
        <v>0</v>
      </c>
      <c r="F15" s="78">
        <v>0</v>
      </c>
      <c r="G15" s="78">
        <v>0</v>
      </c>
      <c r="H15" s="78">
        <v>0</v>
      </c>
      <c r="I15" s="78">
        <v>0</v>
      </c>
      <c r="J15" s="78">
        <v>0</v>
      </c>
      <c r="K15" s="78">
        <v>0</v>
      </c>
    </row>
    <row r="16" spans="2:11">
      <c r="B16">
        <v>11</v>
      </c>
      <c r="C16" t="s">
        <v>188</v>
      </c>
      <c r="D16" s="78">
        <v>0</v>
      </c>
      <c r="E16" s="78">
        <v>0</v>
      </c>
      <c r="F16" s="78">
        <v>0</v>
      </c>
      <c r="G16" s="78">
        <v>0</v>
      </c>
      <c r="H16" s="78">
        <v>0</v>
      </c>
      <c r="I16" s="78">
        <v>0</v>
      </c>
      <c r="J16" s="78">
        <v>0</v>
      </c>
      <c r="K16" s="78">
        <v>0</v>
      </c>
    </row>
    <row r="17" spans="2:11">
      <c r="B17">
        <v>12</v>
      </c>
      <c r="C17" t="s">
        <v>69</v>
      </c>
      <c r="D17" s="78"/>
      <c r="E17" s="78">
        <f>4*D10/3.14159/0.3/0.3/8.9*1000/7/1.03/90/60/37/1.034</f>
        <v>5.5493180456105649E-2</v>
      </c>
      <c r="F17" s="78">
        <f>E17*2.17013888888889</f>
        <v>0.12042790897592379</v>
      </c>
      <c r="G17" s="78">
        <f>E17*20*8/1000</f>
        <v>8.8789088729769039E-3</v>
      </c>
      <c r="H17" s="78">
        <f>E17*0.244125</f>
        <v>1.3547272678846792E-2</v>
      </c>
      <c r="I17" s="78">
        <f>E17*0.0625</f>
        <v>3.4683237785066031E-3</v>
      </c>
      <c r="J17" s="78">
        <f>SUM(F17:I17)*100/100</f>
        <v>0.14632241430625409</v>
      </c>
      <c r="K17" s="78">
        <f>SUM(F17:J17)</f>
        <v>0.29264482861250818</v>
      </c>
    </row>
    <row r="18" spans="2:11">
      <c r="B18">
        <v>13</v>
      </c>
      <c r="C18" t="s">
        <v>189</v>
      </c>
      <c r="D18" s="78">
        <v>2.8833807713294952</v>
      </c>
      <c r="E18" s="78">
        <f>4*D10/3.14159/0.3/0.3/8.9*1000/7/1.03/100/60/37/1.034</f>
        <v>4.9943862410495088E-2</v>
      </c>
      <c r="F18" s="78">
        <f>E18*2.17013888888889</f>
        <v>0.10838511807833141</v>
      </c>
      <c r="G18" s="78">
        <f>E18*15*8/1000</f>
        <v>5.9932634892594103E-3</v>
      </c>
      <c r="H18" s="78">
        <f>E18*0.2848125</f>
        <v>1.4224636312789134E-2</v>
      </c>
      <c r="I18" s="78">
        <f>E18*0.0375</f>
        <v>1.8728948403935657E-3</v>
      </c>
      <c r="J18" s="78">
        <f>SUM(F18:I18)*100/100</f>
        <v>0.13047591272077352</v>
      </c>
      <c r="K18" s="78">
        <f>SUM(F18:J18)</f>
        <v>0.26095182544154705</v>
      </c>
    </row>
    <row r="19" spans="2:11">
      <c r="B19">
        <v>14</v>
      </c>
      <c r="C19" t="s">
        <v>190</v>
      </c>
      <c r="D19" s="78">
        <v>0</v>
      </c>
      <c r="E19" s="78">
        <v>0</v>
      </c>
      <c r="F19" s="78">
        <v>0</v>
      </c>
      <c r="G19" s="78">
        <v>0</v>
      </c>
      <c r="H19" s="78">
        <v>0</v>
      </c>
      <c r="I19" s="78">
        <v>0</v>
      </c>
      <c r="J19" s="78">
        <v>0</v>
      </c>
      <c r="K19" s="78">
        <v>0</v>
      </c>
    </row>
    <row r="20" spans="2:11">
      <c r="B20">
        <v>15</v>
      </c>
      <c r="C20" t="s">
        <v>72</v>
      </c>
      <c r="D20" s="78">
        <v>0</v>
      </c>
      <c r="E20" s="78">
        <v>0</v>
      </c>
      <c r="F20" s="78">
        <v>0</v>
      </c>
      <c r="G20" s="78">
        <v>0</v>
      </c>
      <c r="H20" s="78">
        <v>0</v>
      </c>
      <c r="I20" s="78">
        <v>0</v>
      </c>
      <c r="J20" s="78">
        <v>0</v>
      </c>
      <c r="K20" s="78">
        <v>0</v>
      </c>
    </row>
    <row r="21" spans="2:11">
      <c r="B21">
        <v>16</v>
      </c>
      <c r="C21" t="s">
        <v>191</v>
      </c>
      <c r="D21" s="78">
        <v>0</v>
      </c>
      <c r="E21" s="78">
        <v>0</v>
      </c>
      <c r="F21" s="78">
        <v>0</v>
      </c>
      <c r="G21" s="78">
        <v>0</v>
      </c>
      <c r="H21" s="78">
        <v>0</v>
      </c>
      <c r="I21" s="78">
        <v>0</v>
      </c>
      <c r="J21" s="78">
        <v>0</v>
      </c>
      <c r="K21" s="78">
        <v>0</v>
      </c>
    </row>
    <row r="22" spans="2:11">
      <c r="B22">
        <v>17</v>
      </c>
      <c r="C22" t="s">
        <v>192</v>
      </c>
      <c r="D22" s="78">
        <v>124.5905971550673</v>
      </c>
      <c r="E22" s="78">
        <f>4*D10/3.14159/0.3/0.3/8.9*1000/7/1.03/10/60/37/1.034</f>
        <v>0.49943862410495082</v>
      </c>
      <c r="F22" s="78">
        <f>E22*2.17013888888889</f>
        <v>1.083851180783314</v>
      </c>
      <c r="G22" s="78">
        <f>E22*50*8/1000</f>
        <v>0.19977544964198032</v>
      </c>
      <c r="H22" s="78">
        <f>E22*0.3255</f>
        <v>0.16256727214616151</v>
      </c>
      <c r="I22" s="78">
        <f>E22*0.03125</f>
        <v>1.5607457003279713E-2</v>
      </c>
      <c r="J22" s="78">
        <f>SUM(F22:I22)*100/100</f>
        <v>1.4618013595747357</v>
      </c>
      <c r="K22" s="78">
        <f>SUM(F22:J22)</f>
        <v>2.9236027191494713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9"/>
  <dimension ref="A1:L88"/>
  <sheetViews>
    <sheetView view="pageBreakPreview" zoomScale="60" zoomScaleNormal="70" workbookViewId="0">
      <selection activeCell="C61" sqref="C61"/>
    </sheetView>
  </sheetViews>
  <sheetFormatPr defaultRowHeight="15"/>
  <cols>
    <col min="1" max="1" width="2.85546875" customWidth="1"/>
    <col min="2" max="2" width="6.7109375" customWidth="1"/>
    <col min="3" max="3" width="13" customWidth="1"/>
    <col min="4" max="4" width="11.5703125" customWidth="1"/>
    <col min="5" max="5" width="71.7109375" customWidth="1"/>
    <col min="6" max="6" width="6.7109375" customWidth="1"/>
    <col min="7" max="7" width="11.42578125" customWidth="1"/>
    <col min="8" max="8" width="6" customWidth="1"/>
    <col min="9" max="9" width="3.7109375" customWidth="1"/>
    <col min="10" max="10" width="8.7109375" customWidth="1"/>
    <col min="11" max="11" width="7" customWidth="1"/>
    <col min="12" max="12" width="9.42578125" customWidth="1"/>
  </cols>
  <sheetData>
    <row r="1" spans="2:12" ht="15.6" customHeight="1">
      <c r="B1" s="109"/>
      <c r="C1" s="108"/>
      <c r="D1" s="108"/>
      <c r="E1" s="98"/>
      <c r="F1" s="98"/>
      <c r="G1" s="98"/>
      <c r="H1" s="145" t="s">
        <v>193</v>
      </c>
      <c r="I1" s="108"/>
      <c r="J1" s="108"/>
      <c r="K1" s="108"/>
      <c r="L1" s="108"/>
    </row>
    <row r="2" spans="2:12" ht="7.15" customHeight="1">
      <c r="B2" s="98"/>
      <c r="C2" s="98"/>
      <c r="D2" s="98"/>
      <c r="E2" s="98"/>
      <c r="F2" s="98"/>
      <c r="G2" s="98"/>
      <c r="H2" s="109"/>
      <c r="I2" s="108"/>
      <c r="J2" s="108"/>
      <c r="K2" s="108"/>
      <c r="L2" s="108"/>
    </row>
    <row r="3" spans="2:12" ht="15.6" customHeight="1">
      <c r="B3" s="98"/>
      <c r="C3" s="146"/>
      <c r="D3" s="108"/>
      <c r="E3" s="108"/>
      <c r="F3" s="108"/>
      <c r="G3" s="102"/>
      <c r="H3" s="145" t="s">
        <v>194</v>
      </c>
      <c r="I3" s="108"/>
      <c r="J3" s="108"/>
      <c r="K3" s="108"/>
      <c r="L3" s="108"/>
    </row>
    <row r="4" spans="2:12" ht="15.6" customHeight="1">
      <c r="B4" s="98"/>
      <c r="C4" s="98"/>
      <c r="D4" s="98"/>
      <c r="E4" s="98"/>
      <c r="F4" s="98"/>
      <c r="G4" s="98"/>
      <c r="H4" s="109" t="s">
        <v>195</v>
      </c>
      <c r="I4" s="108"/>
      <c r="J4" s="108"/>
      <c r="K4" s="108"/>
      <c r="L4" s="108"/>
    </row>
    <row r="5" spans="2:12" ht="15.6" customHeight="1">
      <c r="B5" s="98"/>
      <c r="C5" s="145"/>
      <c r="D5" s="108"/>
      <c r="E5" s="108"/>
      <c r="F5" s="108"/>
      <c r="G5" s="108"/>
      <c r="H5" s="102"/>
      <c r="I5" s="102"/>
      <c r="J5" s="102"/>
      <c r="K5" s="145" t="s">
        <v>196</v>
      </c>
      <c r="L5" s="108"/>
    </row>
    <row r="6" spans="2:12" ht="15.6" customHeight="1">
      <c r="B6" s="98"/>
      <c r="C6" s="98"/>
      <c r="D6" s="98"/>
      <c r="E6" s="98"/>
      <c r="F6" s="98"/>
      <c r="G6" s="98"/>
      <c r="H6" s="109"/>
      <c r="I6" s="108"/>
      <c r="J6" s="108"/>
      <c r="K6" s="108"/>
      <c r="L6" s="108"/>
    </row>
    <row r="7" spans="2:12" ht="15.6" customHeight="1">
      <c r="B7" s="98"/>
      <c r="C7" s="145"/>
      <c r="D7" s="108"/>
      <c r="E7" s="108"/>
      <c r="F7" s="108"/>
      <c r="G7" s="108"/>
      <c r="H7" s="147" t="s">
        <v>197</v>
      </c>
      <c r="I7" s="108"/>
      <c r="J7" s="108"/>
      <c r="K7" s="108"/>
      <c r="L7" s="108"/>
    </row>
    <row r="8" spans="2:12" ht="16.149999999999999" customHeight="1" thickBot="1">
      <c r="B8" s="98"/>
      <c r="C8" s="98"/>
      <c r="D8" s="98"/>
      <c r="E8" s="98"/>
      <c r="F8" s="98"/>
      <c r="G8" s="98"/>
      <c r="H8" s="98"/>
      <c r="I8" s="98"/>
      <c r="J8" s="98"/>
      <c r="K8" s="98"/>
      <c r="L8" s="98"/>
    </row>
    <row r="9" spans="2:12" ht="15.6" customHeight="1" thickTop="1">
      <c r="B9" s="148" t="s">
        <v>195</v>
      </c>
      <c r="C9" s="149"/>
      <c r="D9" s="150"/>
      <c r="E9" s="151" t="s">
        <v>198</v>
      </c>
      <c r="F9" s="152"/>
      <c r="G9" s="152"/>
      <c r="H9" s="152"/>
      <c r="I9" s="152"/>
      <c r="J9" s="153"/>
      <c r="K9" s="154" t="s">
        <v>199</v>
      </c>
      <c r="L9" s="155"/>
    </row>
    <row r="10" spans="2:12">
      <c r="B10" s="135"/>
      <c r="C10" s="108"/>
      <c r="D10" s="136"/>
      <c r="E10" s="156" t="s">
        <v>6</v>
      </c>
      <c r="F10" s="111"/>
      <c r="G10" s="111"/>
      <c r="H10" s="111"/>
      <c r="I10" s="111"/>
      <c r="J10" s="134"/>
      <c r="K10" s="158"/>
      <c r="L10" s="141"/>
    </row>
    <row r="11" spans="2:12">
      <c r="B11" s="112"/>
      <c r="C11" s="113"/>
      <c r="D11" s="137"/>
      <c r="E11" s="157"/>
      <c r="F11" s="113"/>
      <c r="G11" s="113"/>
      <c r="H11" s="113"/>
      <c r="I11" s="113"/>
      <c r="J11" s="137"/>
      <c r="K11" s="157"/>
      <c r="L11" s="129"/>
    </row>
    <row r="12" spans="2:12" ht="15" customHeight="1">
      <c r="B12" s="130"/>
      <c r="C12" s="131"/>
      <c r="D12" s="131"/>
      <c r="E12" s="131"/>
      <c r="F12" s="131"/>
      <c r="G12" s="131"/>
      <c r="H12" s="131"/>
      <c r="I12" s="131"/>
      <c r="J12" s="131"/>
      <c r="K12" s="131"/>
      <c r="L12" s="132"/>
    </row>
    <row r="13" spans="2:12" ht="15" customHeight="1">
      <c r="B13" s="133" t="s">
        <v>200</v>
      </c>
      <c r="C13" s="134"/>
      <c r="D13" s="138" t="s">
        <v>201</v>
      </c>
      <c r="E13" s="111"/>
      <c r="F13" s="134"/>
      <c r="G13" s="139" t="s">
        <v>202</v>
      </c>
      <c r="H13" s="134"/>
      <c r="I13" s="139" t="s">
        <v>203</v>
      </c>
      <c r="J13" s="134"/>
      <c r="K13" s="140" t="s">
        <v>204</v>
      </c>
      <c r="L13" s="141"/>
    </row>
    <row r="14" spans="2:12" ht="15" customHeight="1">
      <c r="B14" s="135"/>
      <c r="C14" s="136"/>
      <c r="D14" s="142" t="s">
        <v>205</v>
      </c>
      <c r="E14" s="108"/>
      <c r="F14" s="136"/>
      <c r="G14" s="143" t="s">
        <v>206</v>
      </c>
      <c r="H14" s="136"/>
      <c r="I14" s="143" t="s">
        <v>20</v>
      </c>
      <c r="J14" s="136"/>
      <c r="K14" s="144" t="s">
        <v>24</v>
      </c>
      <c r="L14" s="118"/>
    </row>
    <row r="15" spans="2:12" ht="15.6" customHeight="1">
      <c r="B15" s="112"/>
      <c r="C15" s="137"/>
      <c r="D15" s="58"/>
      <c r="E15" s="58"/>
      <c r="F15" s="59"/>
      <c r="G15" s="159" t="s">
        <v>20</v>
      </c>
      <c r="H15" s="137"/>
      <c r="I15" s="160"/>
      <c r="J15" s="113"/>
      <c r="K15" s="128"/>
      <c r="L15" s="129"/>
    </row>
    <row r="16" spans="2:12" ht="15.6" customHeight="1">
      <c r="B16" s="62"/>
      <c r="C16" s="95"/>
      <c r="D16" s="95"/>
      <c r="E16" s="95"/>
      <c r="F16" s="95"/>
      <c r="G16" s="95"/>
      <c r="H16" s="95"/>
      <c r="I16" s="98"/>
      <c r="J16" s="98"/>
      <c r="K16" s="95"/>
      <c r="L16" s="96"/>
    </row>
    <row r="17" spans="1:12">
      <c r="A17" s="91"/>
      <c r="B17" s="63">
        <v>1</v>
      </c>
      <c r="C17" s="89" t="s">
        <v>207</v>
      </c>
      <c r="D17" s="89"/>
      <c r="E17" s="89"/>
      <c r="F17" s="60"/>
      <c r="G17" s="124" t="s">
        <v>208</v>
      </c>
      <c r="H17" s="108"/>
      <c r="I17" s="123">
        <v>0.9</v>
      </c>
      <c r="J17" s="108"/>
      <c r="K17" s="122">
        <v>173.33716104765361</v>
      </c>
      <c r="L17" s="118"/>
    </row>
    <row r="18" spans="1:12">
      <c r="A18" s="91"/>
      <c r="B18" s="63"/>
      <c r="C18" s="89" t="s">
        <v>209</v>
      </c>
      <c r="D18" s="89"/>
      <c r="E18" s="89"/>
      <c r="F18" s="60"/>
      <c r="G18" s="116"/>
      <c r="H18" s="108"/>
      <c r="I18" s="124"/>
      <c r="J18" s="108"/>
      <c r="K18" s="125">
        <v>4.160091865143686</v>
      </c>
      <c r="L18" s="118"/>
    </row>
    <row r="19" spans="1:12">
      <c r="A19" s="91"/>
      <c r="B19" s="63"/>
      <c r="C19" s="90"/>
      <c r="D19" s="89"/>
      <c r="E19" s="89"/>
      <c r="F19" s="60"/>
      <c r="G19" s="116"/>
      <c r="H19" s="108"/>
      <c r="I19" s="124"/>
      <c r="J19" s="108"/>
      <c r="K19" s="125"/>
      <c r="L19" s="118"/>
    </row>
    <row r="20" spans="1:12">
      <c r="A20" s="91"/>
      <c r="B20" s="63">
        <v>2</v>
      </c>
      <c r="C20" s="89" t="s">
        <v>210</v>
      </c>
      <c r="D20" s="89"/>
      <c r="E20" s="89"/>
      <c r="F20" s="60"/>
      <c r="G20" s="123">
        <v>0.6</v>
      </c>
      <c r="H20" s="108"/>
      <c r="I20" s="124">
        <f>I17+2*G20</f>
        <v>2.1</v>
      </c>
      <c r="J20" s="108"/>
      <c r="K20" s="125">
        <v>187.13588825037681</v>
      </c>
      <c r="L20" s="118"/>
    </row>
    <row r="21" spans="1:12">
      <c r="A21" s="91"/>
      <c r="B21" s="63"/>
      <c r="C21" s="89" t="s">
        <v>42</v>
      </c>
      <c r="D21" s="89"/>
      <c r="E21" s="89"/>
      <c r="F21" s="60"/>
      <c r="G21" s="116"/>
      <c r="H21" s="108"/>
      <c r="I21" s="124"/>
      <c r="J21" s="108"/>
      <c r="K21" s="125">
        <v>3.8175721203076858</v>
      </c>
      <c r="L21" s="118"/>
    </row>
    <row r="22" spans="1:12">
      <c r="A22" s="91"/>
      <c r="B22" s="63"/>
      <c r="C22" s="89"/>
      <c r="D22" s="89"/>
      <c r="E22" s="89"/>
      <c r="F22" s="60"/>
      <c r="G22" s="123"/>
      <c r="H22" s="108"/>
      <c r="I22" s="124"/>
      <c r="J22" s="108"/>
      <c r="K22" s="125"/>
      <c r="L22" s="118"/>
    </row>
    <row r="23" spans="1:12">
      <c r="A23" s="91"/>
      <c r="B23" s="63">
        <v>3</v>
      </c>
      <c r="C23" s="89" t="s">
        <v>69</v>
      </c>
      <c r="D23" s="89"/>
      <c r="E23" s="89"/>
      <c r="F23" s="60"/>
      <c r="G23" s="123" t="s">
        <v>3</v>
      </c>
      <c r="H23" s="108"/>
      <c r="I23" s="124">
        <v>14.7</v>
      </c>
      <c r="J23" s="108"/>
      <c r="K23" s="125" t="s">
        <v>211</v>
      </c>
      <c r="L23" s="118"/>
    </row>
    <row r="24" spans="1:12">
      <c r="A24" s="91"/>
      <c r="B24" s="63"/>
      <c r="C24" s="89"/>
      <c r="D24" s="89"/>
      <c r="E24" s="89"/>
      <c r="F24" s="60"/>
      <c r="G24" s="123"/>
      <c r="H24" s="108"/>
      <c r="I24" s="124"/>
      <c r="J24" s="108"/>
      <c r="K24" s="125"/>
      <c r="L24" s="118"/>
    </row>
    <row r="25" spans="1:12">
      <c r="A25" s="91"/>
      <c r="B25" s="63">
        <v>4</v>
      </c>
      <c r="C25" s="89" t="s">
        <v>212</v>
      </c>
      <c r="D25" s="89"/>
      <c r="E25" s="89"/>
      <c r="F25" s="60"/>
      <c r="G25" s="123">
        <v>0.02</v>
      </c>
      <c r="H25" s="108"/>
      <c r="I25" s="124">
        <f>I23+2*G25</f>
        <v>14.739999999999998</v>
      </c>
      <c r="J25" s="108"/>
      <c r="K25" s="125">
        <v>2.8833807713294952</v>
      </c>
      <c r="L25" s="118"/>
    </row>
    <row r="26" spans="1:12">
      <c r="A26" s="91"/>
      <c r="B26" s="63"/>
      <c r="C26" s="89" t="s">
        <v>213</v>
      </c>
      <c r="D26" s="89"/>
      <c r="E26" s="89"/>
      <c r="F26" s="60"/>
      <c r="G26" s="123"/>
      <c r="H26" s="108"/>
      <c r="I26" s="124"/>
      <c r="J26" s="108"/>
      <c r="K26" s="125"/>
      <c r="L26" s="118"/>
    </row>
    <row r="27" spans="1:12">
      <c r="A27" s="91"/>
      <c r="B27" s="63"/>
      <c r="C27" s="89"/>
      <c r="D27" s="89"/>
      <c r="E27" s="89"/>
      <c r="F27" s="60"/>
      <c r="G27" s="123"/>
      <c r="H27" s="108"/>
      <c r="I27" s="124"/>
      <c r="J27" s="108"/>
      <c r="K27" s="122"/>
      <c r="L27" s="118"/>
    </row>
    <row r="28" spans="1:12">
      <c r="A28" s="91"/>
      <c r="B28" s="63">
        <v>5</v>
      </c>
      <c r="C28" s="89" t="s">
        <v>214</v>
      </c>
      <c r="D28" s="89"/>
      <c r="E28" s="89"/>
      <c r="F28" s="60"/>
      <c r="G28" s="123">
        <v>1.3</v>
      </c>
      <c r="H28" s="108"/>
      <c r="I28" s="124">
        <f>I25+2*G28</f>
        <v>17.34</v>
      </c>
      <c r="J28" s="108"/>
      <c r="K28" s="125">
        <v>124.5905971550673</v>
      </c>
      <c r="L28" s="118"/>
    </row>
    <row r="29" spans="1:12">
      <c r="A29" s="91"/>
      <c r="B29" s="63"/>
      <c r="C29" s="89" t="s">
        <v>215</v>
      </c>
      <c r="D29" s="89"/>
      <c r="E29" s="89"/>
      <c r="F29" s="60"/>
      <c r="G29" s="123"/>
      <c r="H29" s="108"/>
      <c r="I29" s="124"/>
      <c r="J29" s="108"/>
      <c r="K29" s="125"/>
      <c r="L29" s="118"/>
    </row>
    <row r="30" spans="1:12">
      <c r="A30" s="91"/>
      <c r="B30" s="63"/>
      <c r="C30" s="89" t="s">
        <v>89</v>
      </c>
      <c r="D30" s="89"/>
      <c r="E30" s="89"/>
      <c r="F30" s="60"/>
      <c r="G30" s="123"/>
      <c r="H30" s="108"/>
      <c r="I30" s="124"/>
      <c r="J30" s="108"/>
      <c r="K30" s="125">
        <v>0</v>
      </c>
      <c r="L30" s="118"/>
    </row>
    <row r="31" spans="1:12">
      <c r="A31" s="91"/>
      <c r="B31" s="63"/>
      <c r="C31" s="89"/>
      <c r="D31" s="89"/>
      <c r="E31" s="89"/>
      <c r="F31" s="60"/>
      <c r="G31" s="123"/>
      <c r="H31" s="108"/>
      <c r="I31" s="124"/>
      <c r="J31" s="108"/>
      <c r="K31" s="125"/>
      <c r="L31" s="118"/>
    </row>
    <row r="32" spans="1:12">
      <c r="A32" s="91"/>
      <c r="B32" s="63"/>
      <c r="C32" s="89"/>
      <c r="D32" s="89"/>
      <c r="E32" s="89"/>
      <c r="F32" s="60"/>
      <c r="G32" s="123"/>
      <c r="H32" s="108"/>
      <c r="I32" s="124"/>
      <c r="J32" s="108"/>
      <c r="K32" s="125"/>
      <c r="L32" s="118"/>
    </row>
    <row r="33" spans="1:12">
      <c r="A33" s="91"/>
      <c r="B33" s="63"/>
      <c r="C33" s="89"/>
      <c r="D33" s="89"/>
      <c r="E33" s="89"/>
      <c r="F33" s="60"/>
      <c r="G33" s="126" t="s">
        <v>216</v>
      </c>
      <c r="H33" s="108"/>
      <c r="I33" s="124"/>
      <c r="J33" s="108"/>
      <c r="K33" s="127">
        <f>SUM(K17:K30)</f>
        <v>495.92469120987857</v>
      </c>
      <c r="L33" s="118"/>
    </row>
    <row r="34" spans="1:12">
      <c r="A34" s="91"/>
      <c r="B34" s="63"/>
      <c r="C34" s="89"/>
      <c r="D34" s="89"/>
      <c r="E34" s="89"/>
      <c r="F34" s="60"/>
      <c r="G34" s="123"/>
      <c r="H34" s="108"/>
      <c r="I34" s="123"/>
      <c r="J34" s="108"/>
      <c r="K34" s="122"/>
      <c r="L34" s="118"/>
    </row>
    <row r="35" spans="1:12">
      <c r="A35" s="91"/>
      <c r="B35" s="63"/>
      <c r="C35" s="89"/>
      <c r="D35" s="89"/>
      <c r="E35" s="89"/>
      <c r="F35" s="60"/>
      <c r="G35" s="123"/>
      <c r="H35" s="108"/>
      <c r="I35" s="124"/>
      <c r="J35" s="108"/>
      <c r="K35" s="125"/>
      <c r="L35" s="118"/>
    </row>
    <row r="36" spans="1:12">
      <c r="A36" s="91"/>
      <c r="B36" s="63"/>
      <c r="C36" s="82" t="s">
        <v>217</v>
      </c>
      <c r="D36" s="89"/>
      <c r="E36" s="89"/>
      <c r="F36" s="60"/>
      <c r="G36" s="123"/>
      <c r="H36" s="108"/>
      <c r="I36" s="124"/>
      <c r="J36" s="108"/>
      <c r="K36" s="125"/>
      <c r="L36" s="118"/>
    </row>
    <row r="37" spans="1:12">
      <c r="A37" s="91"/>
      <c r="B37" s="63"/>
      <c r="C37" s="89"/>
      <c r="D37" s="89"/>
      <c r="E37" s="89"/>
      <c r="F37" s="89"/>
      <c r="G37" s="116"/>
      <c r="H37" s="108"/>
      <c r="I37" s="116"/>
      <c r="J37" s="108"/>
      <c r="K37" s="117"/>
      <c r="L37" s="118"/>
    </row>
    <row r="38" spans="1:12">
      <c r="A38" s="91"/>
      <c r="B38" s="63"/>
      <c r="C38" s="89"/>
      <c r="D38" s="89"/>
      <c r="E38" s="89"/>
      <c r="F38" s="60"/>
      <c r="G38" s="123"/>
      <c r="H38" s="108"/>
      <c r="I38" s="124"/>
      <c r="J38" s="108"/>
      <c r="K38" s="125"/>
      <c r="L38" s="118"/>
    </row>
    <row r="39" spans="1:12">
      <c r="A39" s="91"/>
      <c r="B39" s="63"/>
      <c r="C39" s="89"/>
      <c r="D39" s="89"/>
      <c r="E39" s="89"/>
      <c r="F39" s="89"/>
      <c r="G39" s="116"/>
      <c r="H39" s="108"/>
      <c r="I39" s="116"/>
      <c r="J39" s="108"/>
      <c r="K39" s="117"/>
      <c r="L39" s="118"/>
    </row>
    <row r="40" spans="1:12">
      <c r="A40" s="91"/>
      <c r="B40" s="63"/>
      <c r="C40" s="89"/>
      <c r="D40" s="89"/>
      <c r="E40" s="89"/>
      <c r="F40" s="89"/>
      <c r="G40" s="116"/>
      <c r="H40" s="108"/>
      <c r="I40" s="116"/>
      <c r="J40" s="108"/>
      <c r="K40" s="117"/>
      <c r="L40" s="118"/>
    </row>
    <row r="41" spans="1:12">
      <c r="A41" s="91"/>
      <c r="B41" s="63"/>
      <c r="C41" s="89"/>
      <c r="D41" s="89"/>
      <c r="E41" s="89"/>
      <c r="F41" s="89"/>
      <c r="G41" s="116"/>
      <c r="H41" s="108"/>
      <c r="I41" s="116"/>
      <c r="J41" s="108"/>
      <c r="K41" s="117"/>
      <c r="L41" s="118"/>
    </row>
    <row r="42" spans="1:12">
      <c r="A42" s="91"/>
      <c r="B42" s="63"/>
      <c r="C42" s="89"/>
      <c r="D42" s="89"/>
      <c r="E42" s="89"/>
      <c r="F42" s="89"/>
      <c r="G42" s="116"/>
      <c r="H42" s="108"/>
      <c r="I42" s="116"/>
      <c r="J42" s="108"/>
      <c r="K42" s="117"/>
      <c r="L42" s="118"/>
    </row>
    <row r="43" spans="1:12">
      <c r="A43" s="91"/>
      <c r="B43" s="63"/>
      <c r="C43" s="89"/>
      <c r="D43" s="89"/>
      <c r="E43" s="89"/>
      <c r="F43" s="89"/>
      <c r="G43" s="116"/>
      <c r="H43" s="108"/>
      <c r="I43" s="116"/>
      <c r="J43" s="108"/>
      <c r="K43" s="117"/>
      <c r="L43" s="118"/>
    </row>
    <row r="44" spans="1:12">
      <c r="A44" s="91"/>
      <c r="B44" s="63"/>
      <c r="C44" s="89"/>
      <c r="D44" s="89"/>
      <c r="E44" s="89"/>
      <c r="F44" s="89"/>
      <c r="G44" s="116"/>
      <c r="H44" s="108"/>
      <c r="I44" s="116"/>
      <c r="J44" s="108"/>
      <c r="K44" s="117"/>
      <c r="L44" s="118"/>
    </row>
    <row r="45" spans="1:12">
      <c r="A45" s="91"/>
      <c r="B45" s="63"/>
      <c r="C45" s="89"/>
      <c r="D45" s="89"/>
      <c r="E45" s="89"/>
      <c r="F45" s="89"/>
      <c r="G45" s="116"/>
      <c r="H45" s="108"/>
      <c r="I45" s="116"/>
      <c r="J45" s="108"/>
      <c r="K45" s="117"/>
      <c r="L45" s="118"/>
    </row>
    <row r="46" spans="1:12">
      <c r="A46" s="91"/>
      <c r="B46" s="63"/>
      <c r="C46" s="89"/>
      <c r="D46" s="89"/>
      <c r="E46" s="89"/>
      <c r="F46" s="89"/>
      <c r="G46" s="116"/>
      <c r="H46" s="108"/>
      <c r="I46" s="116"/>
      <c r="J46" s="108"/>
      <c r="K46" s="117"/>
      <c r="L46" s="118"/>
    </row>
    <row r="47" spans="1:12">
      <c r="A47" s="91"/>
      <c r="B47" s="63"/>
      <c r="C47" s="89"/>
      <c r="D47" s="89"/>
      <c r="E47" s="89"/>
      <c r="F47" s="89"/>
      <c r="G47" s="123"/>
      <c r="H47" s="108"/>
      <c r="I47" s="123"/>
      <c r="J47" s="108"/>
      <c r="K47" s="122"/>
      <c r="L47" s="118"/>
    </row>
    <row r="48" spans="1:12">
      <c r="A48" s="91"/>
      <c r="B48" s="63"/>
      <c r="C48" s="89"/>
      <c r="D48" s="89"/>
      <c r="E48" s="89"/>
      <c r="F48" s="100"/>
      <c r="G48" s="121"/>
      <c r="H48" s="108"/>
      <c r="I48" s="121"/>
      <c r="J48" s="108"/>
      <c r="K48" s="122"/>
      <c r="L48" s="118"/>
    </row>
    <row r="49" spans="1:12">
      <c r="A49" s="91"/>
      <c r="B49" s="63"/>
      <c r="C49" s="89"/>
      <c r="D49" s="89"/>
      <c r="E49" s="89"/>
      <c r="F49" s="89"/>
      <c r="G49" s="116"/>
      <c r="H49" s="108"/>
      <c r="I49" s="116"/>
      <c r="J49" s="108"/>
      <c r="K49" s="117"/>
      <c r="L49" s="118"/>
    </row>
    <row r="50" spans="1:12">
      <c r="A50" s="91"/>
      <c r="B50" s="63"/>
      <c r="C50" s="89"/>
      <c r="D50" s="89"/>
      <c r="E50" s="89"/>
      <c r="F50" s="89"/>
      <c r="G50" s="123"/>
      <c r="H50" s="108"/>
      <c r="I50" s="123"/>
      <c r="J50" s="108"/>
      <c r="K50" s="122"/>
      <c r="L50" s="118"/>
    </row>
    <row r="51" spans="1:12">
      <c r="A51" s="91"/>
      <c r="B51" s="63"/>
      <c r="C51" s="89"/>
      <c r="D51" s="89"/>
      <c r="E51" s="89"/>
      <c r="F51" s="89"/>
      <c r="G51" s="116"/>
      <c r="H51" s="108"/>
      <c r="I51" s="116"/>
      <c r="J51" s="108"/>
      <c r="K51" s="117"/>
      <c r="L51" s="118"/>
    </row>
    <row r="52" spans="1:12">
      <c r="A52" s="91"/>
      <c r="B52" s="63"/>
      <c r="C52" s="89"/>
      <c r="D52" s="89"/>
      <c r="E52" s="89"/>
      <c r="F52" s="89"/>
      <c r="G52" s="123"/>
      <c r="H52" s="108"/>
      <c r="I52" s="116"/>
      <c r="J52" s="108"/>
      <c r="K52" s="117"/>
      <c r="L52" s="118"/>
    </row>
    <row r="53" spans="1:12">
      <c r="A53" s="91"/>
      <c r="B53" s="63"/>
      <c r="C53" s="89"/>
      <c r="D53" s="89"/>
      <c r="E53" s="89"/>
      <c r="F53" s="89"/>
      <c r="G53" s="123"/>
      <c r="H53" s="108"/>
      <c r="I53" s="116"/>
      <c r="J53" s="108"/>
      <c r="K53" s="117"/>
      <c r="L53" s="118"/>
    </row>
    <row r="54" spans="1:12">
      <c r="A54" s="91"/>
      <c r="B54" s="63"/>
      <c r="C54" s="89"/>
      <c r="D54" s="89"/>
      <c r="E54" s="89"/>
      <c r="F54" s="89"/>
      <c r="G54" s="123"/>
      <c r="H54" s="108"/>
      <c r="I54" s="116"/>
      <c r="J54" s="108"/>
      <c r="K54" s="117"/>
      <c r="L54" s="118"/>
    </row>
    <row r="55" spans="1:12">
      <c r="A55" s="91"/>
      <c r="B55" s="63"/>
      <c r="C55" s="89"/>
      <c r="D55" s="89"/>
      <c r="E55" s="89"/>
      <c r="F55" s="99"/>
      <c r="G55" s="123"/>
      <c r="H55" s="108"/>
      <c r="I55" s="116"/>
      <c r="J55" s="108"/>
      <c r="K55" s="122"/>
      <c r="L55" s="118"/>
    </row>
    <row r="56" spans="1:12">
      <c r="A56" s="91"/>
      <c r="B56" s="63"/>
      <c r="C56" s="89"/>
      <c r="D56" s="89"/>
      <c r="E56" s="89"/>
      <c r="F56" s="89"/>
      <c r="G56" s="116"/>
      <c r="H56" s="108"/>
      <c r="I56" s="116"/>
      <c r="J56" s="108"/>
      <c r="K56" s="117"/>
      <c r="L56" s="118"/>
    </row>
    <row r="57" spans="1:12">
      <c r="A57" s="91"/>
      <c r="B57" s="63"/>
      <c r="C57" s="89"/>
      <c r="D57" s="89"/>
      <c r="E57" s="89"/>
      <c r="F57" s="89"/>
      <c r="G57" s="116"/>
      <c r="H57" s="108"/>
      <c r="I57" s="116"/>
      <c r="J57" s="108"/>
      <c r="K57" s="122"/>
      <c r="L57" s="118"/>
    </row>
    <row r="58" spans="1:12">
      <c r="A58" s="91"/>
      <c r="B58" s="63"/>
      <c r="C58" s="89"/>
      <c r="D58" s="89"/>
      <c r="E58" s="89"/>
      <c r="F58" s="89"/>
      <c r="G58" s="116"/>
      <c r="H58" s="108"/>
      <c r="I58" s="116"/>
      <c r="J58" s="108"/>
      <c r="K58" s="122"/>
      <c r="L58" s="118"/>
    </row>
    <row r="59" spans="1:12">
      <c r="A59" s="91"/>
      <c r="B59" s="63"/>
      <c r="C59" s="89"/>
      <c r="D59" s="89"/>
      <c r="E59" s="89"/>
      <c r="F59" s="89"/>
      <c r="G59" s="116"/>
      <c r="H59" s="108"/>
      <c r="I59" s="116"/>
      <c r="J59" s="108"/>
      <c r="K59" s="117"/>
      <c r="L59" s="118"/>
    </row>
    <row r="60" spans="1:12">
      <c r="A60" s="91"/>
      <c r="B60" s="63"/>
      <c r="C60" s="89"/>
      <c r="D60" s="89"/>
      <c r="E60" s="89"/>
      <c r="F60" s="89"/>
      <c r="G60" s="116"/>
      <c r="H60" s="108"/>
      <c r="I60" s="116"/>
      <c r="J60" s="108"/>
      <c r="K60" s="117"/>
      <c r="L60" s="118"/>
    </row>
    <row r="61" spans="1:12">
      <c r="A61" s="91"/>
      <c r="B61" s="63"/>
      <c r="C61" s="89"/>
      <c r="D61" s="89"/>
      <c r="E61" s="89"/>
      <c r="F61" s="89"/>
      <c r="G61" s="116"/>
      <c r="H61" s="108"/>
      <c r="I61" s="116"/>
      <c r="J61" s="108"/>
      <c r="K61" s="117"/>
      <c r="L61" s="118"/>
    </row>
    <row r="62" spans="1:12">
      <c r="A62" s="91"/>
      <c r="B62" s="63"/>
      <c r="C62" s="89"/>
      <c r="D62" s="89"/>
      <c r="E62" s="89"/>
      <c r="F62" s="89"/>
      <c r="G62" s="116"/>
      <c r="H62" s="108"/>
      <c r="I62" s="116"/>
      <c r="J62" s="108"/>
      <c r="K62" s="117"/>
      <c r="L62" s="118"/>
    </row>
    <row r="63" spans="1:12">
      <c r="A63" s="91"/>
      <c r="B63" s="63"/>
      <c r="C63" s="89"/>
      <c r="D63" s="89"/>
      <c r="E63" s="89"/>
      <c r="F63" s="100"/>
      <c r="G63" s="121"/>
      <c r="H63" s="108"/>
      <c r="I63" s="121"/>
      <c r="J63" s="108"/>
      <c r="K63" s="122"/>
      <c r="L63" s="118"/>
    </row>
    <row r="64" spans="1:12">
      <c r="A64" s="91"/>
      <c r="B64" s="63"/>
      <c r="C64" s="89"/>
      <c r="D64" s="89"/>
      <c r="E64" s="89"/>
      <c r="F64" s="89"/>
      <c r="G64" s="116"/>
      <c r="H64" s="108"/>
      <c r="I64" s="116"/>
      <c r="J64" s="108"/>
      <c r="K64" s="117"/>
      <c r="L64" s="118"/>
    </row>
    <row r="65" spans="1:12">
      <c r="A65" s="91"/>
      <c r="B65" s="63"/>
      <c r="C65" s="89"/>
      <c r="D65" s="89"/>
      <c r="E65" s="89"/>
      <c r="F65" s="89"/>
      <c r="G65" s="116"/>
      <c r="H65" s="108"/>
      <c r="I65" s="116"/>
      <c r="J65" s="108"/>
      <c r="K65" s="117"/>
      <c r="L65" s="118"/>
    </row>
    <row r="66" spans="1:12">
      <c r="A66" s="91"/>
      <c r="B66" s="63"/>
      <c r="C66" s="89"/>
      <c r="D66" s="89"/>
      <c r="E66" s="89"/>
      <c r="F66" s="89"/>
      <c r="G66" s="116"/>
      <c r="H66" s="108"/>
      <c r="I66" s="116"/>
      <c r="J66" s="108"/>
      <c r="K66" s="117"/>
      <c r="L66" s="118"/>
    </row>
    <row r="67" spans="1:12">
      <c r="A67" s="91"/>
      <c r="B67" s="63"/>
      <c r="C67" s="89"/>
      <c r="D67" s="89"/>
      <c r="E67" s="89"/>
      <c r="F67" s="89"/>
      <c r="G67" s="116"/>
      <c r="H67" s="108"/>
      <c r="I67" s="116"/>
      <c r="J67" s="108"/>
      <c r="K67" s="117"/>
      <c r="L67" s="118"/>
    </row>
    <row r="68" spans="1:12">
      <c r="A68" s="91"/>
      <c r="B68" s="63"/>
      <c r="C68" s="89"/>
      <c r="D68" s="89"/>
      <c r="E68" s="89"/>
      <c r="F68" s="89"/>
      <c r="G68" s="116"/>
      <c r="H68" s="108"/>
      <c r="I68" s="116"/>
      <c r="J68" s="108"/>
      <c r="K68" s="117"/>
      <c r="L68" s="118"/>
    </row>
    <row r="69" spans="1:12">
      <c r="A69" s="91"/>
      <c r="B69" s="63"/>
      <c r="C69" s="89"/>
      <c r="D69" s="89"/>
      <c r="E69" s="89"/>
      <c r="F69" s="100"/>
      <c r="G69" s="121"/>
      <c r="H69" s="108"/>
      <c r="I69" s="121"/>
      <c r="J69" s="108"/>
      <c r="K69" s="122"/>
      <c r="L69" s="118"/>
    </row>
    <row r="70" spans="1:12">
      <c r="A70" s="91"/>
      <c r="B70" s="63"/>
      <c r="C70" s="89"/>
      <c r="D70" s="89"/>
      <c r="E70" s="89"/>
      <c r="F70" s="60"/>
      <c r="G70" s="116"/>
      <c r="H70" s="108"/>
      <c r="I70" s="116"/>
      <c r="J70" s="108"/>
      <c r="K70" s="117"/>
      <c r="L70" s="118"/>
    </row>
    <row r="71" spans="1:12">
      <c r="A71" s="91"/>
      <c r="B71" s="63"/>
      <c r="C71" s="89"/>
      <c r="D71" s="89"/>
      <c r="E71" s="89"/>
      <c r="F71" s="89"/>
      <c r="G71" s="116"/>
      <c r="H71" s="108"/>
      <c r="I71" s="116"/>
      <c r="J71" s="108"/>
      <c r="K71" s="117"/>
      <c r="L71" s="118"/>
    </row>
    <row r="72" spans="1:12">
      <c r="A72" s="91"/>
      <c r="B72" s="63"/>
      <c r="C72" s="89"/>
      <c r="D72" s="89"/>
      <c r="E72" s="89"/>
      <c r="F72" s="89"/>
      <c r="G72" s="116"/>
      <c r="H72" s="108"/>
      <c r="I72" s="116"/>
      <c r="J72" s="108"/>
      <c r="K72" s="117"/>
      <c r="L72" s="118"/>
    </row>
    <row r="73" spans="1:12">
      <c r="A73" s="91"/>
      <c r="B73" s="63"/>
      <c r="C73" s="89"/>
      <c r="D73" s="89"/>
      <c r="E73" s="89"/>
      <c r="F73" s="60"/>
      <c r="G73" s="116"/>
      <c r="H73" s="108"/>
      <c r="I73" s="116"/>
      <c r="J73" s="108"/>
      <c r="K73" s="117"/>
      <c r="L73" s="118"/>
    </row>
    <row r="74" spans="1:12">
      <c r="A74" s="91"/>
      <c r="B74" s="63"/>
      <c r="C74" s="89"/>
      <c r="D74" s="89"/>
      <c r="E74" s="89"/>
      <c r="F74" s="100"/>
      <c r="G74" s="121"/>
      <c r="H74" s="108"/>
      <c r="I74" s="121"/>
      <c r="J74" s="108"/>
      <c r="K74" s="122"/>
      <c r="L74" s="118"/>
    </row>
    <row r="75" spans="1:12">
      <c r="A75" s="91"/>
      <c r="B75" s="63"/>
      <c r="C75" s="89"/>
      <c r="D75" s="89"/>
      <c r="E75" s="89"/>
      <c r="F75" s="89"/>
      <c r="G75" s="116"/>
      <c r="H75" s="108"/>
      <c r="I75" s="116"/>
      <c r="J75" s="108"/>
      <c r="K75" s="117"/>
      <c r="L75" s="118"/>
    </row>
    <row r="76" spans="1:12">
      <c r="A76" s="91"/>
      <c r="B76" s="63"/>
      <c r="C76" s="89"/>
      <c r="D76" s="89"/>
      <c r="E76" s="89"/>
      <c r="F76" s="60"/>
      <c r="G76" s="116"/>
      <c r="H76" s="108"/>
      <c r="I76" s="116"/>
      <c r="J76" s="108"/>
      <c r="K76" s="117"/>
      <c r="L76" s="118"/>
    </row>
    <row r="77" spans="1:12">
      <c r="A77" s="91"/>
      <c r="B77" s="63"/>
      <c r="C77" s="89"/>
      <c r="D77" s="89"/>
      <c r="E77" s="89"/>
      <c r="F77" s="89"/>
      <c r="G77" s="116"/>
      <c r="H77" s="108"/>
      <c r="I77" s="116"/>
      <c r="J77" s="108"/>
      <c r="K77" s="117"/>
      <c r="L77" s="118"/>
    </row>
    <row r="78" spans="1:12">
      <c r="B78" s="64"/>
      <c r="C78" s="61"/>
      <c r="D78" s="61"/>
      <c r="E78" s="61"/>
      <c r="F78" s="61"/>
      <c r="G78" s="119"/>
      <c r="H78" s="108"/>
      <c r="I78" s="119"/>
      <c r="J78" s="108"/>
      <c r="K78" s="120"/>
      <c r="L78" s="118"/>
    </row>
    <row r="79" spans="1:12" ht="15.6" customHeight="1">
      <c r="B79" s="110" t="s">
        <v>218</v>
      </c>
      <c r="C79" s="111"/>
      <c r="D79" s="92"/>
      <c r="E79" s="114"/>
      <c r="F79" s="111"/>
      <c r="G79" s="92"/>
      <c r="H79" s="92"/>
      <c r="I79" s="94"/>
      <c r="J79" s="114" t="s">
        <v>219</v>
      </c>
      <c r="K79" s="111"/>
      <c r="L79" s="65"/>
    </row>
    <row r="80" spans="1:12" ht="15.6" customHeight="1">
      <c r="B80" s="112"/>
      <c r="C80" s="113"/>
      <c r="D80" s="93"/>
      <c r="E80" s="113"/>
      <c r="F80" s="113"/>
      <c r="G80" s="93"/>
      <c r="H80" s="93"/>
      <c r="I80" s="93"/>
      <c r="J80" s="113"/>
      <c r="K80" s="113"/>
      <c r="L80" s="66"/>
    </row>
    <row r="81" spans="2:12" ht="15.6" customHeight="1">
      <c r="B81" s="115" t="s">
        <v>220</v>
      </c>
      <c r="C81" s="108"/>
      <c r="D81" s="98"/>
      <c r="E81" s="97"/>
      <c r="F81" s="97"/>
      <c r="G81" s="98"/>
      <c r="H81" s="98"/>
      <c r="I81" s="98"/>
      <c r="J81" s="98"/>
      <c r="K81" s="98"/>
      <c r="L81" s="67"/>
    </row>
    <row r="82" spans="2:12" ht="15.6" customHeight="1">
      <c r="B82" s="101"/>
      <c r="G82" s="107" t="s">
        <v>221</v>
      </c>
      <c r="H82" s="108"/>
      <c r="I82" s="108"/>
      <c r="J82" s="98"/>
      <c r="K82" s="98"/>
      <c r="L82" s="67"/>
    </row>
    <row r="83" spans="2:12" ht="15.6" customHeight="1">
      <c r="B83" s="101"/>
      <c r="J83" s="98"/>
      <c r="K83" s="98"/>
      <c r="L83" s="67"/>
    </row>
    <row r="84" spans="2:12" ht="15.6" customHeight="1">
      <c r="B84" s="101"/>
      <c r="G84" s="107" t="s">
        <v>222</v>
      </c>
      <c r="H84" s="108"/>
      <c r="I84" s="108"/>
      <c r="J84" s="108"/>
      <c r="K84" s="98"/>
      <c r="L84" s="67"/>
    </row>
    <row r="85" spans="2:12" ht="15.6" customHeight="1">
      <c r="B85" s="101"/>
      <c r="G85" s="98"/>
      <c r="H85" s="107"/>
      <c r="I85" s="108"/>
      <c r="J85" s="108"/>
      <c r="K85" s="98"/>
      <c r="L85" s="67"/>
    </row>
    <row r="86" spans="2:12" ht="15.6" customHeight="1">
      <c r="B86" s="101"/>
      <c r="G86" s="109" t="s">
        <v>223</v>
      </c>
      <c r="H86" s="108"/>
      <c r="I86" s="108"/>
      <c r="J86" s="108"/>
      <c r="K86" s="98"/>
      <c r="L86" s="67"/>
    </row>
    <row r="87" spans="2:12" ht="15" customHeight="1" thickBot="1">
      <c r="B87" s="68"/>
      <c r="C87" s="69"/>
      <c r="D87" s="69"/>
      <c r="E87" s="69"/>
      <c r="F87" s="69"/>
      <c r="G87" s="69"/>
      <c r="H87" s="69"/>
      <c r="I87" s="69"/>
      <c r="J87" s="69"/>
      <c r="K87" s="69"/>
      <c r="L87" s="70"/>
    </row>
    <row r="88" spans="2:12" ht="15" customHeight="1" thickTop="1"/>
  </sheetData>
  <mergeCells count="223">
    <mergeCell ref="G57:H57"/>
    <mergeCell ref="G58:H58"/>
    <mergeCell ref="I57:J57"/>
    <mergeCell ref="I58:J58"/>
    <mergeCell ref="K57:L57"/>
    <mergeCell ref="K58:L58"/>
    <mergeCell ref="B1:D1"/>
    <mergeCell ref="H1:L1"/>
    <mergeCell ref="H2:L2"/>
    <mergeCell ref="C3:F3"/>
    <mergeCell ref="H3:L3"/>
    <mergeCell ref="H4:L4"/>
    <mergeCell ref="C5:G5"/>
    <mergeCell ref="K5:L5"/>
    <mergeCell ref="H6:L6"/>
    <mergeCell ref="C7:G7"/>
    <mergeCell ref="H7:L7"/>
    <mergeCell ref="B9:D11"/>
    <mergeCell ref="E9:J9"/>
    <mergeCell ref="K9:L9"/>
    <mergeCell ref="E10:J11"/>
    <mergeCell ref="K10:L11"/>
    <mergeCell ref="G15:H15"/>
    <mergeCell ref="I15:J15"/>
    <mergeCell ref="K15:L15"/>
    <mergeCell ref="G17:H17"/>
    <mergeCell ref="I17:J17"/>
    <mergeCell ref="K17:L17"/>
    <mergeCell ref="B12:L12"/>
    <mergeCell ref="B13:C15"/>
    <mergeCell ref="D13:F13"/>
    <mergeCell ref="G13:H13"/>
    <mergeCell ref="I13:J13"/>
    <mergeCell ref="K13:L13"/>
    <mergeCell ref="D14:F14"/>
    <mergeCell ref="G14:H14"/>
    <mergeCell ref="I14:J14"/>
    <mergeCell ref="K14:L14"/>
    <mergeCell ref="G20:H20"/>
    <mergeCell ref="I20:J20"/>
    <mergeCell ref="K20:L20"/>
    <mergeCell ref="G21:H21"/>
    <mergeCell ref="I21:J21"/>
    <mergeCell ref="K21:L21"/>
    <mergeCell ref="G18:H18"/>
    <mergeCell ref="I18:J18"/>
    <mergeCell ref="K18:L18"/>
    <mergeCell ref="G19:H19"/>
    <mergeCell ref="I19:J19"/>
    <mergeCell ref="K19:L19"/>
    <mergeCell ref="G24:H24"/>
    <mergeCell ref="I24:J24"/>
    <mergeCell ref="K24:L24"/>
    <mergeCell ref="G25:H25"/>
    <mergeCell ref="I25:J25"/>
    <mergeCell ref="K25:L25"/>
    <mergeCell ref="G22:H22"/>
    <mergeCell ref="I22:J22"/>
    <mergeCell ref="K22:L22"/>
    <mergeCell ref="G23:H23"/>
    <mergeCell ref="I23:J23"/>
    <mergeCell ref="K23:L23"/>
    <mergeCell ref="G28:H28"/>
    <mergeCell ref="I28:J28"/>
    <mergeCell ref="K28:L28"/>
    <mergeCell ref="G29:H29"/>
    <mergeCell ref="I29:J29"/>
    <mergeCell ref="K29:L29"/>
    <mergeCell ref="G26:H26"/>
    <mergeCell ref="I26:J26"/>
    <mergeCell ref="K26:L26"/>
    <mergeCell ref="G27:H27"/>
    <mergeCell ref="I27:J27"/>
    <mergeCell ref="K27:L27"/>
    <mergeCell ref="G32:H32"/>
    <mergeCell ref="I32:J32"/>
    <mergeCell ref="K32:L32"/>
    <mergeCell ref="G33:H33"/>
    <mergeCell ref="I33:J33"/>
    <mergeCell ref="K33:L33"/>
    <mergeCell ref="G30:H30"/>
    <mergeCell ref="I30:J30"/>
    <mergeCell ref="K30:L30"/>
    <mergeCell ref="G31:H31"/>
    <mergeCell ref="I31:J31"/>
    <mergeCell ref="K31:L31"/>
    <mergeCell ref="G36:H36"/>
    <mergeCell ref="I36:J36"/>
    <mergeCell ref="K36:L36"/>
    <mergeCell ref="G37:H37"/>
    <mergeCell ref="I37:J37"/>
    <mergeCell ref="K37:L37"/>
    <mergeCell ref="G34:H34"/>
    <mergeCell ref="I34:J34"/>
    <mergeCell ref="K34:L34"/>
    <mergeCell ref="G35:H35"/>
    <mergeCell ref="I35:J35"/>
    <mergeCell ref="K35:L35"/>
    <mergeCell ref="G40:H40"/>
    <mergeCell ref="I40:J40"/>
    <mergeCell ref="K40:L40"/>
    <mergeCell ref="G41:H41"/>
    <mergeCell ref="I41:J41"/>
    <mergeCell ref="K41:L41"/>
    <mergeCell ref="G38:H38"/>
    <mergeCell ref="I38:J38"/>
    <mergeCell ref="K38:L38"/>
    <mergeCell ref="G39:H39"/>
    <mergeCell ref="I39:J39"/>
    <mergeCell ref="K39:L39"/>
    <mergeCell ref="G44:H44"/>
    <mergeCell ref="I44:J44"/>
    <mergeCell ref="K44:L44"/>
    <mergeCell ref="G45:H45"/>
    <mergeCell ref="I45:J45"/>
    <mergeCell ref="K45:L45"/>
    <mergeCell ref="G42:H42"/>
    <mergeCell ref="I42:J42"/>
    <mergeCell ref="K42:L42"/>
    <mergeCell ref="G43:H43"/>
    <mergeCell ref="I43:J43"/>
    <mergeCell ref="K43:L43"/>
    <mergeCell ref="G49:H49"/>
    <mergeCell ref="I49:J49"/>
    <mergeCell ref="K49:L49"/>
    <mergeCell ref="G51:H51"/>
    <mergeCell ref="I51:J51"/>
    <mergeCell ref="K51:L51"/>
    <mergeCell ref="G46:H46"/>
    <mergeCell ref="I46:J46"/>
    <mergeCell ref="K46:L46"/>
    <mergeCell ref="G48:H48"/>
    <mergeCell ref="I48:J48"/>
    <mergeCell ref="K48:L48"/>
    <mergeCell ref="G47:H47"/>
    <mergeCell ref="I47:J47"/>
    <mergeCell ref="K47:L47"/>
    <mergeCell ref="G50:H50"/>
    <mergeCell ref="I50:J50"/>
    <mergeCell ref="K50:L50"/>
    <mergeCell ref="G52:H52"/>
    <mergeCell ref="G53:H53"/>
    <mergeCell ref="G54:H54"/>
    <mergeCell ref="I52:J52"/>
    <mergeCell ref="I53:J53"/>
    <mergeCell ref="I54:J54"/>
    <mergeCell ref="K52:L52"/>
    <mergeCell ref="K53:L53"/>
    <mergeCell ref="G63:H63"/>
    <mergeCell ref="I63:J63"/>
    <mergeCell ref="K63:L63"/>
    <mergeCell ref="G59:H59"/>
    <mergeCell ref="I59:J59"/>
    <mergeCell ref="K59:L59"/>
    <mergeCell ref="G60:H60"/>
    <mergeCell ref="I60:J60"/>
    <mergeCell ref="K60:L60"/>
    <mergeCell ref="K55:L55"/>
    <mergeCell ref="G56:H56"/>
    <mergeCell ref="I56:J56"/>
    <mergeCell ref="K56:L56"/>
    <mergeCell ref="K54:L54"/>
    <mergeCell ref="G55:H55"/>
    <mergeCell ref="I55:J55"/>
    <mergeCell ref="G64:H64"/>
    <mergeCell ref="I64:J64"/>
    <mergeCell ref="K64:L64"/>
    <mergeCell ref="G61:H61"/>
    <mergeCell ref="I61:J61"/>
    <mergeCell ref="K61:L61"/>
    <mergeCell ref="G62:H62"/>
    <mergeCell ref="I62:J62"/>
    <mergeCell ref="K62:L62"/>
    <mergeCell ref="G67:H67"/>
    <mergeCell ref="I67:J67"/>
    <mergeCell ref="K67:L67"/>
    <mergeCell ref="G68:H68"/>
    <mergeCell ref="I68:J68"/>
    <mergeCell ref="K68:L68"/>
    <mergeCell ref="G65:H65"/>
    <mergeCell ref="I65:J65"/>
    <mergeCell ref="K65:L65"/>
    <mergeCell ref="G66:H66"/>
    <mergeCell ref="I66:J66"/>
    <mergeCell ref="K66:L66"/>
    <mergeCell ref="G71:H71"/>
    <mergeCell ref="I71:J71"/>
    <mergeCell ref="K71:L71"/>
    <mergeCell ref="G72:H72"/>
    <mergeCell ref="I72:J72"/>
    <mergeCell ref="K72:L72"/>
    <mergeCell ref="G69:H69"/>
    <mergeCell ref="I69:J69"/>
    <mergeCell ref="K69:L69"/>
    <mergeCell ref="G70:H70"/>
    <mergeCell ref="I70:J70"/>
    <mergeCell ref="K70:L70"/>
    <mergeCell ref="G75:H75"/>
    <mergeCell ref="I75:J75"/>
    <mergeCell ref="K75:L75"/>
    <mergeCell ref="G76:H76"/>
    <mergeCell ref="I76:J76"/>
    <mergeCell ref="K76:L76"/>
    <mergeCell ref="G73:H73"/>
    <mergeCell ref="I73:J73"/>
    <mergeCell ref="K73:L73"/>
    <mergeCell ref="G74:H74"/>
    <mergeCell ref="I74:J74"/>
    <mergeCell ref="K74:L74"/>
    <mergeCell ref="H85:J85"/>
    <mergeCell ref="G86:J86"/>
    <mergeCell ref="B79:C80"/>
    <mergeCell ref="E79:F80"/>
    <mergeCell ref="J79:K80"/>
    <mergeCell ref="B81:C81"/>
    <mergeCell ref="G82:I82"/>
    <mergeCell ref="G84:J84"/>
    <mergeCell ref="G77:H77"/>
    <mergeCell ref="I77:J77"/>
    <mergeCell ref="K77:L77"/>
    <mergeCell ref="G78:H78"/>
    <mergeCell ref="I78:J78"/>
    <mergeCell ref="K78:L78"/>
  </mergeCells>
  <pageMargins left="0.7" right="0.7" top="0.75" bottom="0.75" header="0.3" footer="0.3"/>
  <pageSetup paperSize="9" scale="54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22"/>
  <dimension ref="B2:S11"/>
  <sheetViews>
    <sheetView workbookViewId="0">
      <selection activeCell="F22" sqref="F22"/>
    </sheetView>
  </sheetViews>
  <sheetFormatPr defaultRowHeight="15"/>
  <cols>
    <col min="2" max="2" width="35.7109375" customWidth="1"/>
    <col min="3" max="16" width="18.85546875" customWidth="1"/>
    <col min="18" max="19" width="18.85546875" customWidth="1"/>
  </cols>
  <sheetData>
    <row r="2" spans="2:19">
      <c r="D2">
        <v>0.94359694343065703</v>
      </c>
      <c r="E2">
        <v>0.94359694343065703</v>
      </c>
      <c r="F2">
        <v>2</v>
      </c>
      <c r="G2">
        <v>0.94359694343065703</v>
      </c>
      <c r="H2">
        <v>2</v>
      </c>
      <c r="I2">
        <v>2</v>
      </c>
      <c r="J2">
        <v>1.428571428571429</v>
      </c>
      <c r="K2">
        <v>0.21111111111111111</v>
      </c>
      <c r="L2">
        <v>1.333333333333333</v>
      </c>
      <c r="M2">
        <v>1.8680000000000001</v>
      </c>
      <c r="N2">
        <v>2.2333333333333329</v>
      </c>
      <c r="O2">
        <v>0.3</v>
      </c>
      <c r="P2">
        <v>0.2</v>
      </c>
    </row>
    <row r="3" spans="2:19">
      <c r="D3" t="s">
        <v>224</v>
      </c>
      <c r="E3" t="s">
        <v>224</v>
      </c>
      <c r="F3" t="s">
        <v>225</v>
      </c>
      <c r="G3" t="s">
        <v>224</v>
      </c>
      <c r="H3" t="s">
        <v>225</v>
      </c>
      <c r="I3" t="s">
        <v>226</v>
      </c>
      <c r="J3" t="s">
        <v>227</v>
      </c>
      <c r="K3" t="s">
        <v>228</v>
      </c>
      <c r="L3" t="s">
        <v>229</v>
      </c>
      <c r="M3" t="s">
        <v>230</v>
      </c>
      <c r="N3" t="s">
        <v>231</v>
      </c>
      <c r="O3" t="s">
        <v>232</v>
      </c>
      <c r="P3" t="s">
        <v>233</v>
      </c>
    </row>
    <row r="9" spans="2:19" ht="15" customHeight="1" thickBot="1"/>
    <row r="10" spans="2:19" ht="44.45" customHeight="1" thickTop="1" thickBot="1">
      <c r="B10" s="87" t="s">
        <v>7</v>
      </c>
      <c r="C10" s="87" t="s">
        <v>234</v>
      </c>
      <c r="D10" s="87" t="s">
        <v>91</v>
      </c>
      <c r="E10" s="87" t="s">
        <v>92</v>
      </c>
      <c r="F10" s="87" t="s">
        <v>93</v>
      </c>
      <c r="G10" s="87" t="s">
        <v>94</v>
      </c>
      <c r="H10" s="87" t="s">
        <v>95</v>
      </c>
      <c r="I10" s="87" t="s">
        <v>96</v>
      </c>
      <c r="J10" s="87" t="s">
        <v>97</v>
      </c>
      <c r="K10" s="87" t="s">
        <v>98</v>
      </c>
      <c r="L10" s="87" t="s">
        <v>99</v>
      </c>
      <c r="M10" s="87" t="s">
        <v>100</v>
      </c>
      <c r="N10" s="87" t="s">
        <v>101</v>
      </c>
      <c r="O10" s="87" t="s">
        <v>102</v>
      </c>
      <c r="P10" s="87" t="s">
        <v>103</v>
      </c>
      <c r="R10" s="87" t="s">
        <v>235</v>
      </c>
      <c r="S10" s="87" t="s">
        <v>236</v>
      </c>
    </row>
    <row r="11" spans="2:19" ht="15" customHeight="1" thickTop="1"/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3"/>
  <dimension ref="B2:H13"/>
  <sheetViews>
    <sheetView workbookViewId="0">
      <selection activeCell="F16" sqref="F16"/>
    </sheetView>
  </sheetViews>
  <sheetFormatPr defaultRowHeight="15"/>
  <cols>
    <col min="3" max="3" width="34.7109375" bestFit="1" customWidth="1"/>
    <col min="4" max="4" width="17.85546875" customWidth="1"/>
    <col min="5" max="5" width="23.28515625" bestFit="1" customWidth="1"/>
    <col min="6" max="6" width="24.28515625" bestFit="1" customWidth="1"/>
    <col min="7" max="7" width="13.42578125" bestFit="1" customWidth="1"/>
    <col min="8" max="8" width="15.7109375" bestFit="1" customWidth="1"/>
  </cols>
  <sheetData>
    <row r="2" spans="2:8">
      <c r="B2" t="s">
        <v>169</v>
      </c>
      <c r="C2" t="s">
        <v>237</v>
      </c>
      <c r="D2" t="s">
        <v>238</v>
      </c>
      <c r="E2" t="s">
        <v>239</v>
      </c>
      <c r="F2" t="s">
        <v>240</v>
      </c>
      <c r="G2" t="s">
        <v>241</v>
      </c>
      <c r="H2" t="s">
        <v>242</v>
      </c>
    </row>
    <row r="3" spans="2:8">
      <c r="B3">
        <v>1</v>
      </c>
      <c r="C3" t="s">
        <v>243</v>
      </c>
      <c r="D3" t="s">
        <v>224</v>
      </c>
      <c r="E3" s="78">
        <v>8768</v>
      </c>
      <c r="F3" s="78">
        <v>8768</v>
      </c>
      <c r="G3" s="78">
        <v>8273.4580000000005</v>
      </c>
      <c r="H3" s="78">
        <f t="shared" ref="H3:H13" si="0">G3/E3</f>
        <v>0.94359694343065703</v>
      </c>
    </row>
    <row r="4" spans="2:8">
      <c r="B4">
        <v>2</v>
      </c>
      <c r="C4" t="s">
        <v>244</v>
      </c>
      <c r="D4" t="s">
        <v>225</v>
      </c>
      <c r="E4" s="78">
        <v>100</v>
      </c>
      <c r="F4" s="78">
        <v>100</v>
      </c>
      <c r="G4" s="78">
        <v>200</v>
      </c>
      <c r="H4" s="78">
        <f t="shared" si="0"/>
        <v>2</v>
      </c>
    </row>
    <row r="5" spans="2:8">
      <c r="B5">
        <v>3</v>
      </c>
      <c r="C5" t="s">
        <v>245</v>
      </c>
      <c r="D5" t="s">
        <v>228</v>
      </c>
      <c r="E5" s="78">
        <v>1800</v>
      </c>
      <c r="F5" s="78">
        <v>1800</v>
      </c>
      <c r="G5" s="78">
        <v>380</v>
      </c>
      <c r="H5" s="78">
        <f t="shared" si="0"/>
        <v>0.21111111111111111</v>
      </c>
    </row>
    <row r="6" spans="2:8">
      <c r="B6">
        <v>4</v>
      </c>
      <c r="C6" t="s">
        <v>246</v>
      </c>
      <c r="D6" t="s">
        <v>247</v>
      </c>
      <c r="E6" s="78">
        <v>20</v>
      </c>
      <c r="F6" s="78">
        <v>20</v>
      </c>
      <c r="G6" s="78">
        <v>24</v>
      </c>
      <c r="H6" s="78">
        <f t="shared" si="0"/>
        <v>1.2</v>
      </c>
    </row>
    <row r="7" spans="2:8">
      <c r="B7">
        <v>5</v>
      </c>
      <c r="C7" t="s">
        <v>27</v>
      </c>
      <c r="D7" t="s">
        <v>226</v>
      </c>
      <c r="E7" s="78">
        <v>700</v>
      </c>
      <c r="F7" s="78">
        <v>700</v>
      </c>
      <c r="G7" s="78">
        <v>1400</v>
      </c>
      <c r="H7" s="78">
        <f t="shared" si="0"/>
        <v>2</v>
      </c>
    </row>
    <row r="8" spans="2:8">
      <c r="B8">
        <v>6</v>
      </c>
      <c r="C8" t="s">
        <v>248</v>
      </c>
      <c r="D8" t="s">
        <v>229</v>
      </c>
      <c r="E8" s="78">
        <v>900</v>
      </c>
      <c r="F8" s="78">
        <v>900</v>
      </c>
      <c r="G8" s="78">
        <v>1200</v>
      </c>
      <c r="H8" s="78">
        <f t="shared" si="0"/>
        <v>1.3333333333333333</v>
      </c>
    </row>
    <row r="9" spans="2:8">
      <c r="B9">
        <v>7</v>
      </c>
      <c r="C9" t="s">
        <v>249</v>
      </c>
      <c r="D9" t="s">
        <v>231</v>
      </c>
      <c r="E9" s="78">
        <v>300</v>
      </c>
      <c r="F9" s="78">
        <v>300</v>
      </c>
      <c r="G9" s="78">
        <v>670</v>
      </c>
      <c r="H9" s="78">
        <f t="shared" si="0"/>
        <v>2.2333333333333334</v>
      </c>
    </row>
    <row r="10" spans="2:8">
      <c r="B10">
        <v>8</v>
      </c>
      <c r="C10" t="s">
        <v>250</v>
      </c>
      <c r="D10" t="s">
        <v>230</v>
      </c>
      <c r="E10" s="78">
        <v>500</v>
      </c>
      <c r="F10" s="78">
        <v>500</v>
      </c>
      <c r="G10" s="78">
        <v>934</v>
      </c>
      <c r="H10" s="78">
        <f t="shared" si="0"/>
        <v>1.8680000000000001</v>
      </c>
    </row>
    <row r="11" spans="2:8">
      <c r="B11">
        <v>9</v>
      </c>
      <c r="C11" t="s">
        <v>251</v>
      </c>
      <c r="D11" t="s">
        <v>227</v>
      </c>
      <c r="E11" s="78">
        <v>1400</v>
      </c>
      <c r="F11" s="78">
        <v>1400</v>
      </c>
      <c r="G11" s="78">
        <v>2000</v>
      </c>
      <c r="H11" s="78">
        <f t="shared" si="0"/>
        <v>1.4285714285714286</v>
      </c>
    </row>
    <row r="12" spans="2:8">
      <c r="B12">
        <v>10</v>
      </c>
      <c r="C12" t="s">
        <v>252</v>
      </c>
      <c r="D12" t="s">
        <v>232</v>
      </c>
      <c r="E12" s="78">
        <v>1200</v>
      </c>
      <c r="F12" s="78">
        <v>1200</v>
      </c>
      <c r="G12" s="78">
        <v>360</v>
      </c>
      <c r="H12" s="78">
        <f t="shared" si="0"/>
        <v>0.3</v>
      </c>
    </row>
    <row r="13" spans="2:8">
      <c r="B13">
        <v>11</v>
      </c>
      <c r="C13" t="s">
        <v>42</v>
      </c>
      <c r="D13" t="s">
        <v>233</v>
      </c>
      <c r="E13" s="78">
        <v>400</v>
      </c>
      <c r="F13" s="78">
        <v>400</v>
      </c>
      <c r="G13" s="78">
        <v>80</v>
      </c>
      <c r="H13" s="78">
        <f t="shared" si="0"/>
        <v>0.2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8"/>
  <dimension ref="C1:AA7"/>
  <sheetViews>
    <sheetView workbookViewId="0">
      <selection activeCell="I22" sqref="I22"/>
    </sheetView>
  </sheetViews>
  <sheetFormatPr defaultRowHeight="15"/>
  <cols>
    <col min="3" max="3" width="13.140625" customWidth="1"/>
    <col min="4" max="4" width="12" customWidth="1"/>
    <col min="5" max="5" width="8.85546875" customWidth="1"/>
    <col min="6" max="6" width="11" customWidth="1"/>
    <col min="7" max="7" width="13.42578125" customWidth="1"/>
    <col min="8" max="8" width="11.28515625" customWidth="1"/>
    <col min="9" max="9" width="16.140625" customWidth="1"/>
    <col min="10" max="10" width="12.140625" customWidth="1"/>
    <col min="11" max="11" width="10.28515625" customWidth="1"/>
  </cols>
  <sheetData>
    <row r="1" spans="3:27" ht="61.15" customHeight="1">
      <c r="C1" s="8" t="s">
        <v>106</v>
      </c>
      <c r="D1" s="8" t="s">
        <v>149</v>
      </c>
      <c r="E1" s="8" t="s">
        <v>150</v>
      </c>
      <c r="F1" s="8" t="s">
        <v>151</v>
      </c>
      <c r="G1" s="8" t="s">
        <v>110</v>
      </c>
      <c r="H1" s="9" t="s">
        <v>111</v>
      </c>
      <c r="I1" s="10" t="s">
        <v>112</v>
      </c>
      <c r="J1" s="11" t="s">
        <v>113</v>
      </c>
      <c r="K1" s="12" t="s">
        <v>114</v>
      </c>
      <c r="L1" s="8" t="s">
        <v>115</v>
      </c>
      <c r="M1" s="8" t="s">
        <v>116</v>
      </c>
      <c r="N1" s="11" t="s">
        <v>152</v>
      </c>
      <c r="O1" s="8" t="s">
        <v>118</v>
      </c>
      <c r="P1" s="8" t="s">
        <v>119</v>
      </c>
      <c r="Q1" s="11" t="s">
        <v>253</v>
      </c>
      <c r="R1" s="8" t="s">
        <v>112</v>
      </c>
      <c r="S1" s="8" t="s">
        <v>154</v>
      </c>
      <c r="T1" s="13" t="s">
        <v>122</v>
      </c>
      <c r="U1" s="8" t="s">
        <v>123</v>
      </c>
      <c r="V1" s="14" t="s">
        <v>155</v>
      </c>
      <c r="W1" s="15" t="s">
        <v>156</v>
      </c>
      <c r="X1" s="14" t="s">
        <v>157</v>
      </c>
      <c r="Y1" s="15" t="s">
        <v>158</v>
      </c>
      <c r="Z1" s="16" t="s">
        <v>124</v>
      </c>
      <c r="AA1" s="16" t="s">
        <v>125</v>
      </c>
    </row>
    <row r="2" spans="3:27" s="2" customFormat="1" ht="52.9" customHeight="1">
      <c r="C2" s="17" t="s">
        <v>126</v>
      </c>
      <c r="D2" s="18"/>
      <c r="E2" s="19" t="s">
        <v>127</v>
      </c>
      <c r="F2" s="19" t="s">
        <v>128</v>
      </c>
      <c r="G2" s="17" t="s">
        <v>129</v>
      </c>
      <c r="H2" s="20" t="s">
        <v>130</v>
      </c>
      <c r="I2" s="21" t="s">
        <v>131</v>
      </c>
      <c r="J2" s="22" t="s">
        <v>132</v>
      </c>
      <c r="K2" s="23" t="s">
        <v>133</v>
      </c>
      <c r="L2" s="24" t="s">
        <v>134</v>
      </c>
      <c r="M2" s="17" t="s">
        <v>135</v>
      </c>
      <c r="N2" s="25" t="s">
        <v>136</v>
      </c>
      <c r="O2" s="26" t="s">
        <v>137</v>
      </c>
      <c r="P2" s="26" t="s">
        <v>138</v>
      </c>
      <c r="Q2" s="25" t="s">
        <v>139</v>
      </c>
      <c r="R2" s="27" t="s">
        <v>131</v>
      </c>
      <c r="S2" s="24" t="s">
        <v>140</v>
      </c>
      <c r="T2" s="28" t="s">
        <v>141</v>
      </c>
      <c r="U2" s="29" t="s">
        <v>142</v>
      </c>
      <c r="V2" s="30" t="s">
        <v>161</v>
      </c>
      <c r="W2" s="18" t="s">
        <v>162</v>
      </c>
      <c r="X2" s="31" t="s">
        <v>163</v>
      </c>
      <c r="Y2" s="32" t="s">
        <v>164</v>
      </c>
      <c r="Z2" s="33"/>
      <c r="AA2" s="33"/>
    </row>
    <row r="3" spans="3:27">
      <c r="C3" s="34">
        <v>0.45</v>
      </c>
      <c r="D3" s="161" t="s">
        <v>254</v>
      </c>
      <c r="E3" s="35">
        <v>0.14000000000000001</v>
      </c>
      <c r="F3" s="36">
        <v>4</v>
      </c>
      <c r="G3" s="37">
        <f>C3+L3</f>
        <v>0.68333333333333335</v>
      </c>
      <c r="H3" s="38">
        <v>40</v>
      </c>
      <c r="I3" s="38">
        <f>100/(100-H3)</f>
        <v>1.6666666666666667</v>
      </c>
      <c r="J3" s="39">
        <f>3.1415926*G3*O3</f>
        <v>4</v>
      </c>
      <c r="K3" s="40">
        <v>4</v>
      </c>
      <c r="L3" s="38">
        <f>I3*E3</f>
        <v>0.23333333333333336</v>
      </c>
      <c r="M3" s="38">
        <f>C3+2*L3</f>
        <v>0.91666666666666674</v>
      </c>
      <c r="N3" s="41">
        <f>ATAN(K3/(3.1415926*(C3+L3)))*180/3.1415926</f>
        <v>61.778046783998519</v>
      </c>
      <c r="O3" s="42">
        <f>K3/(3.1415926*(C3+L3))</f>
        <v>1.8632774143233486</v>
      </c>
      <c r="P3" s="42">
        <f>COS(N3*3.1415926/180)</f>
        <v>0.47288842299762646</v>
      </c>
      <c r="Q3" s="39">
        <f>(F3-K3*P3)/F3*100</f>
        <v>52.711157700237351</v>
      </c>
      <c r="R3" s="37">
        <f>100/(100-Q3)</f>
        <v>2.1146637375071013</v>
      </c>
      <c r="S3" s="37">
        <f>R3*E3</f>
        <v>0.29605292325099419</v>
      </c>
      <c r="T3" s="43">
        <f>C3+2*S3</f>
        <v>1.0421058465019883</v>
      </c>
      <c r="U3" s="42">
        <f>SIN(N3*3.1415926/180)</f>
        <v>0.88112231806646346</v>
      </c>
      <c r="V3" s="35">
        <v>150</v>
      </c>
      <c r="W3" s="44">
        <f>V3/U3</f>
        <v>170.23743119929171</v>
      </c>
      <c r="X3" s="35">
        <v>41.5</v>
      </c>
      <c r="Y3" s="45">
        <f>2*SQRT((1000*W3*E3/3.1415926)+(X3*X3))</f>
        <v>192.96223628789883</v>
      </c>
      <c r="Z3" s="46">
        <v>1.2</v>
      </c>
      <c r="AA3" s="47">
        <f>3.14*(C3+S3)*S3*Z3*R3</f>
        <v>1.759913011847221</v>
      </c>
    </row>
    <row r="4" spans="3:27">
      <c r="C4" s="34">
        <f>T3</f>
        <v>1.0421058465019883</v>
      </c>
      <c r="D4" s="162"/>
      <c r="E4" s="35">
        <v>0.14000000000000001</v>
      </c>
      <c r="F4" s="36">
        <v>6</v>
      </c>
      <c r="G4" s="37">
        <f>C4+L4</f>
        <v>1.2754391798353217</v>
      </c>
      <c r="H4" s="38">
        <v>40</v>
      </c>
      <c r="I4" s="38">
        <f>100/(100-H4)</f>
        <v>1.6666666666666667</v>
      </c>
      <c r="J4" s="39">
        <f>3.1415926*G4*O4</f>
        <v>6</v>
      </c>
      <c r="K4" s="40">
        <v>6</v>
      </c>
      <c r="L4" s="38">
        <f>I4*E4</f>
        <v>0.23333333333333336</v>
      </c>
      <c r="M4" s="38">
        <f>C4+2*L4</f>
        <v>1.5087725131686551</v>
      </c>
      <c r="N4" s="41">
        <f>ATAN(K4/(3.1415926*(C4+L4)))*180/3.1415926</f>
        <v>56.264273437381497</v>
      </c>
      <c r="O4" s="42">
        <f>K4/(3.1415926*(C4+L4))</f>
        <v>1.4974131106181194</v>
      </c>
      <c r="P4" s="42">
        <f>COS(N4*3.1415926/180)</f>
        <v>0.55536309526848715</v>
      </c>
      <c r="Q4" s="39">
        <f>(F4-K4*P4)/F4*100</f>
        <v>44.463690473151289</v>
      </c>
      <c r="R4" s="37">
        <f>100/(100-Q4)</f>
        <v>1.8006237874278552</v>
      </c>
      <c r="S4" s="37">
        <f>R4*E4</f>
        <v>0.25208733023989977</v>
      </c>
      <c r="T4" s="43">
        <f>C4+2*S4</f>
        <v>1.546280506981788</v>
      </c>
      <c r="U4" s="42">
        <f>SIN(N4*3.1415926/180)</f>
        <v>0.83160798000849245</v>
      </c>
      <c r="V4" s="35">
        <v>150</v>
      </c>
      <c r="W4" s="44">
        <f>V4/U4</f>
        <v>180.37344951700462</v>
      </c>
      <c r="X4" s="35">
        <v>41.5</v>
      </c>
      <c r="Y4" s="45">
        <f>2*SQRT((1000*W4*E4/3.1415926)+(X4*X4))</f>
        <v>197.58847580971255</v>
      </c>
      <c r="Z4" s="46">
        <v>1.2</v>
      </c>
      <c r="AA4" s="47">
        <f>3.14*(C4+S4)*S4*Z4*R4</f>
        <v>2.2135228112850198</v>
      </c>
    </row>
    <row r="6" spans="3:27" ht="14.45" customHeight="1">
      <c r="C6" s="34">
        <v>1.3</v>
      </c>
      <c r="D6" s="161" t="s">
        <v>254</v>
      </c>
      <c r="E6" s="35">
        <v>0.14000000000000001</v>
      </c>
      <c r="F6" s="36">
        <v>4</v>
      </c>
      <c r="G6" s="37">
        <f>C6+L6</f>
        <v>1.5333333333333334</v>
      </c>
      <c r="H6" s="38">
        <v>40</v>
      </c>
      <c r="I6" s="38">
        <f>100/(100-H6)</f>
        <v>1.6666666666666667</v>
      </c>
      <c r="J6" s="39">
        <f>3.1415926*G6*O6</f>
        <v>2.9999999999999996</v>
      </c>
      <c r="K6" s="40">
        <v>3</v>
      </c>
      <c r="L6" s="38">
        <f>I6*E6</f>
        <v>0.23333333333333336</v>
      </c>
      <c r="M6" s="38">
        <f>C6+2*L6</f>
        <v>1.7666666666666668</v>
      </c>
      <c r="N6" s="41">
        <f>ATAN(K6/(3.1415926*(C6+L6)))*180/3.1415926</f>
        <v>31.913834432437159</v>
      </c>
      <c r="O6" s="42">
        <f>K6/(3.1415926*(C6+L6))</f>
        <v>0.62278022272220612</v>
      </c>
      <c r="P6" s="42">
        <f>COS(N6*3.1415926/180)</f>
        <v>0.84884407308931187</v>
      </c>
      <c r="Q6" s="39">
        <f>(F6-K6*P6)/F6*100</f>
        <v>36.336694518301613</v>
      </c>
      <c r="R6" s="37">
        <f>100/(100-Q6)</f>
        <v>1.5707635543483915</v>
      </c>
      <c r="S6" s="37">
        <f>R6*E6</f>
        <v>0.21990689760877483</v>
      </c>
      <c r="T6" s="43">
        <f>C6+2*S6</f>
        <v>1.7398137952175496</v>
      </c>
      <c r="U6" s="42">
        <f>SIN(N6*3.1415926/180)</f>
        <v>0.52864330089498623</v>
      </c>
      <c r="V6" s="35">
        <v>150</v>
      </c>
      <c r="W6" s="44">
        <f>V6/U6</f>
        <v>283.74520162470981</v>
      </c>
      <c r="X6" s="35">
        <v>41.5</v>
      </c>
      <c r="Y6" s="45">
        <f>2*SQRT((1000*W6*E6/3.1415926)+(X6*X6))</f>
        <v>239.72397971420844</v>
      </c>
      <c r="Z6" s="46">
        <v>1.2</v>
      </c>
      <c r="AA6" s="47">
        <f>3.14*(C6+S6)*S6*Z6*R6</f>
        <v>1.9782334801224599</v>
      </c>
    </row>
    <row r="7" spans="3:27">
      <c r="C7" s="34">
        <f>T6</f>
        <v>1.7398137952175496</v>
      </c>
      <c r="D7" s="162"/>
      <c r="E7" s="35">
        <v>0.14000000000000001</v>
      </c>
      <c r="F7" s="36">
        <v>6</v>
      </c>
      <c r="G7" s="37">
        <f>C7+L7</f>
        <v>1.973147128550883</v>
      </c>
      <c r="H7" s="38">
        <v>40</v>
      </c>
      <c r="I7" s="38">
        <f>100/(100-H7)</f>
        <v>1.6666666666666667</v>
      </c>
      <c r="J7" s="39">
        <f>3.1415926*G7*O7</f>
        <v>5</v>
      </c>
      <c r="K7" s="40">
        <v>5</v>
      </c>
      <c r="L7" s="38">
        <f>I7*E7</f>
        <v>0.23333333333333336</v>
      </c>
      <c r="M7" s="38">
        <f>C7+2*L7</f>
        <v>2.2064804618842162</v>
      </c>
      <c r="N7" s="41">
        <f>ATAN(K7/(3.1415926*(C7+L7)))*180/3.1415926</f>
        <v>38.88980633730192</v>
      </c>
      <c r="O7" s="42">
        <f>K7/(3.1415926*(C7+L7))</f>
        <v>0.8066045532229138</v>
      </c>
      <c r="P7" s="42">
        <f>COS(N7*3.1415926/180)</f>
        <v>0.77835486625468819</v>
      </c>
      <c r="Q7" s="39">
        <f>(F7-K7*P7)/F7*100</f>
        <v>35.137094478775985</v>
      </c>
      <c r="R7" s="37">
        <f>100/(100-Q7)</f>
        <v>1.5417132365012336</v>
      </c>
      <c r="S7" s="37">
        <f>R7*E7</f>
        <v>0.21583985311017273</v>
      </c>
      <c r="T7" s="43">
        <f>C7+2*S7</f>
        <v>2.1714935014378951</v>
      </c>
      <c r="U7" s="42">
        <f>SIN(N7*3.1415926/180)</f>
        <v>0.6278245791442435</v>
      </c>
      <c r="V7" s="35">
        <v>150</v>
      </c>
      <c r="W7" s="44">
        <f>V7/U7</f>
        <v>238.92024139044946</v>
      </c>
      <c r="X7" s="35">
        <v>41.5</v>
      </c>
      <c r="Y7" s="45">
        <f>2*SQRT((1000*W7*E7/3.1415926)+(X7*X7))</f>
        <v>222.43511107538342</v>
      </c>
      <c r="Z7" s="46">
        <v>1.2</v>
      </c>
      <c r="AA7" s="47">
        <f>3.14*(C7+S7)*S7*Z7*R7</f>
        <v>2.4520994193227046</v>
      </c>
    </row>
  </sheetData>
  <mergeCells count="2">
    <mergeCell ref="D3:D4"/>
    <mergeCell ref="D6:D7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4"/>
  <dimension ref="B2:D54"/>
  <sheetViews>
    <sheetView workbookViewId="0">
      <selection activeCell="I35" sqref="I35"/>
    </sheetView>
  </sheetViews>
  <sheetFormatPr defaultRowHeight="15"/>
  <cols>
    <col min="3" max="3" width="24.7109375" bestFit="1" customWidth="1"/>
    <col min="4" max="4" width="22.7109375" bestFit="1" customWidth="1"/>
  </cols>
  <sheetData>
    <row r="2" spans="3:4">
      <c r="C2" t="s">
        <v>255</v>
      </c>
      <c r="D2" s="4" t="s">
        <v>256</v>
      </c>
    </row>
    <row r="3" spans="3:4">
      <c r="C3" t="s">
        <v>257</v>
      </c>
      <c r="D3" t="s">
        <v>46</v>
      </c>
    </row>
    <row r="4" spans="3:4">
      <c r="C4">
        <v>2</v>
      </c>
      <c r="D4">
        <v>2</v>
      </c>
    </row>
    <row r="5" spans="3:4">
      <c r="C5">
        <v>3</v>
      </c>
      <c r="D5">
        <v>2.15</v>
      </c>
    </row>
    <row r="6" spans="3:4">
      <c r="C6">
        <v>4</v>
      </c>
      <c r="D6">
        <v>2.41</v>
      </c>
    </row>
    <row r="7" spans="3:4">
      <c r="C7">
        <v>5</v>
      </c>
      <c r="D7">
        <v>2.7</v>
      </c>
    </row>
    <row r="8" spans="3:4">
      <c r="C8">
        <v>6</v>
      </c>
      <c r="D8">
        <v>3</v>
      </c>
    </row>
    <row r="9" spans="3:4">
      <c r="C9">
        <v>7</v>
      </c>
      <c r="D9">
        <v>3</v>
      </c>
    </row>
    <row r="10" spans="3:4">
      <c r="C10">
        <v>8</v>
      </c>
      <c r="D10">
        <v>3.3</v>
      </c>
    </row>
    <row r="11" spans="3:4">
      <c r="C11">
        <v>9</v>
      </c>
      <c r="D11">
        <v>3.7</v>
      </c>
    </row>
    <row r="12" spans="3:4">
      <c r="C12">
        <v>10</v>
      </c>
      <c r="D12">
        <v>4</v>
      </c>
    </row>
    <row r="13" spans="3:4">
      <c r="C13">
        <v>11</v>
      </c>
      <c r="D13">
        <v>4.1500000000000004</v>
      </c>
    </row>
    <row r="14" spans="3:4">
      <c r="C14">
        <v>12</v>
      </c>
      <c r="D14">
        <v>4.1500000000000004</v>
      </c>
    </row>
    <row r="15" spans="3:4">
      <c r="C15">
        <v>13</v>
      </c>
      <c r="D15">
        <v>4.41</v>
      </c>
    </row>
    <row r="16" spans="3:4">
      <c r="C16">
        <v>14</v>
      </c>
      <c r="D16">
        <v>4.41</v>
      </c>
    </row>
    <row r="17" spans="2:4">
      <c r="C17">
        <v>15</v>
      </c>
      <c r="D17">
        <v>4.7</v>
      </c>
    </row>
    <row r="18" spans="2:4">
      <c r="C18">
        <v>16</v>
      </c>
      <c r="D18">
        <v>4.7</v>
      </c>
    </row>
    <row r="19" spans="2:4">
      <c r="B19" t="s">
        <v>258</v>
      </c>
      <c r="C19">
        <v>17</v>
      </c>
      <c r="D19">
        <v>4.8</v>
      </c>
    </row>
    <row r="20" spans="2:4">
      <c r="C20">
        <v>18</v>
      </c>
      <c r="D20">
        <v>5</v>
      </c>
    </row>
    <row r="21" spans="2:4">
      <c r="B21" t="s">
        <v>258</v>
      </c>
      <c r="C21">
        <v>19</v>
      </c>
      <c r="D21">
        <v>5</v>
      </c>
    </row>
    <row r="22" spans="2:4">
      <c r="C22">
        <v>20</v>
      </c>
      <c r="D22">
        <v>5.3</v>
      </c>
    </row>
    <row r="23" spans="2:4">
      <c r="C23">
        <v>21</v>
      </c>
      <c r="D23">
        <v>5.3</v>
      </c>
    </row>
    <row r="24" spans="2:4">
      <c r="C24">
        <v>22</v>
      </c>
      <c r="D24">
        <v>6</v>
      </c>
    </row>
    <row r="25" spans="2:4">
      <c r="C25">
        <v>23</v>
      </c>
      <c r="D25">
        <v>6</v>
      </c>
    </row>
    <row r="26" spans="2:4">
      <c r="C26">
        <v>24</v>
      </c>
      <c r="D26">
        <v>6</v>
      </c>
    </row>
    <row r="27" spans="2:4">
      <c r="C27">
        <v>25</v>
      </c>
      <c r="D27">
        <v>6.15</v>
      </c>
    </row>
    <row r="28" spans="2:4">
      <c r="C28">
        <v>26</v>
      </c>
      <c r="D28">
        <v>6.15</v>
      </c>
    </row>
    <row r="29" spans="2:4">
      <c r="C29">
        <v>27</v>
      </c>
      <c r="D29">
        <v>6.15</v>
      </c>
    </row>
    <row r="30" spans="2:4">
      <c r="C30">
        <v>28</v>
      </c>
      <c r="D30">
        <v>6.41</v>
      </c>
    </row>
    <row r="31" spans="2:4">
      <c r="C31">
        <v>29</v>
      </c>
      <c r="D31">
        <v>6.41</v>
      </c>
    </row>
    <row r="32" spans="2:4">
      <c r="C32">
        <v>30</v>
      </c>
      <c r="D32">
        <v>6.41</v>
      </c>
    </row>
    <row r="33" spans="3:4">
      <c r="C33">
        <v>31</v>
      </c>
      <c r="D33">
        <v>6.7</v>
      </c>
    </row>
    <row r="34" spans="3:4">
      <c r="C34">
        <v>32</v>
      </c>
      <c r="D34">
        <v>6.7</v>
      </c>
    </row>
    <row r="35" spans="3:4">
      <c r="C35">
        <v>33</v>
      </c>
      <c r="D35">
        <v>6.7</v>
      </c>
    </row>
    <row r="36" spans="3:4">
      <c r="C36">
        <v>34</v>
      </c>
      <c r="D36">
        <v>7</v>
      </c>
    </row>
    <row r="37" spans="3:4">
      <c r="C37">
        <v>35</v>
      </c>
      <c r="D37">
        <v>7</v>
      </c>
    </row>
    <row r="38" spans="3:4">
      <c r="C38">
        <v>36</v>
      </c>
      <c r="D38">
        <v>7</v>
      </c>
    </row>
    <row r="39" spans="3:4">
      <c r="C39">
        <v>37</v>
      </c>
      <c r="D39">
        <v>7</v>
      </c>
    </row>
    <row r="40" spans="3:4">
      <c r="C40">
        <v>38</v>
      </c>
      <c r="D40">
        <v>7.3</v>
      </c>
    </row>
    <row r="41" spans="3:4">
      <c r="C41">
        <v>39</v>
      </c>
      <c r="D41">
        <v>7.3</v>
      </c>
    </row>
    <row r="42" spans="3:4">
      <c r="C42">
        <v>40</v>
      </c>
      <c r="D42">
        <v>7.3</v>
      </c>
    </row>
    <row r="43" spans="3:4">
      <c r="C43">
        <v>41</v>
      </c>
      <c r="D43">
        <v>8</v>
      </c>
    </row>
    <row r="44" spans="3:4">
      <c r="C44">
        <v>42</v>
      </c>
      <c r="D44">
        <v>8</v>
      </c>
    </row>
    <row r="45" spans="3:4">
      <c r="C45">
        <v>43</v>
      </c>
      <c r="D45">
        <v>8</v>
      </c>
    </row>
    <row r="46" spans="3:4">
      <c r="C46">
        <v>44</v>
      </c>
      <c r="D46">
        <v>8</v>
      </c>
    </row>
    <row r="47" spans="3:4">
      <c r="C47">
        <v>45</v>
      </c>
      <c r="D47">
        <v>8.15</v>
      </c>
    </row>
    <row r="48" spans="3:4">
      <c r="C48">
        <v>46</v>
      </c>
      <c r="D48">
        <v>8.15</v>
      </c>
    </row>
    <row r="49" spans="3:4">
      <c r="C49">
        <v>47</v>
      </c>
      <c r="D49">
        <v>8.15</v>
      </c>
    </row>
    <row r="50" spans="3:4">
      <c r="C50">
        <v>48</v>
      </c>
      <c r="D50">
        <v>8.15</v>
      </c>
    </row>
    <row r="51" spans="3:4">
      <c r="C51">
        <v>49</v>
      </c>
      <c r="D51">
        <v>8.41</v>
      </c>
    </row>
    <row r="52" spans="3:4">
      <c r="C52">
        <v>50</v>
      </c>
      <c r="D52">
        <v>8.41</v>
      </c>
    </row>
    <row r="53" spans="3:4">
      <c r="C53">
        <v>51</v>
      </c>
      <c r="D53">
        <v>8.41</v>
      </c>
    </row>
    <row r="54" spans="3:4">
      <c r="C54">
        <v>52</v>
      </c>
      <c r="D54">
        <v>8.41</v>
      </c>
    </row>
  </sheetData>
  <hyperlinks>
    <hyperlink ref="D2" r:id="rId1" xr:uid="{00000000-0004-0000-0C00-000000000000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2"/>
  <dimension ref="G2:M25"/>
  <sheetViews>
    <sheetView workbookViewId="0">
      <selection activeCell="I35" sqref="I35"/>
    </sheetView>
  </sheetViews>
  <sheetFormatPr defaultRowHeight="15"/>
  <cols>
    <col min="7" max="7" width="22.85546875" customWidth="1"/>
    <col min="8" max="8" width="11.7109375" customWidth="1"/>
    <col min="9" max="9" width="21.85546875" bestFit="1" customWidth="1"/>
    <col min="10" max="10" width="15.140625" customWidth="1"/>
    <col min="11" max="11" width="18.28515625" bestFit="1" customWidth="1"/>
    <col min="13" max="13" width="9.7109375" customWidth="1"/>
    <col min="14" max="14" width="14.28515625" customWidth="1"/>
    <col min="15" max="15" width="13.140625" customWidth="1"/>
  </cols>
  <sheetData>
    <row r="2" spans="7:13">
      <c r="G2" t="s">
        <v>12</v>
      </c>
      <c r="H2" t="s">
        <v>259</v>
      </c>
      <c r="I2" t="s">
        <v>260</v>
      </c>
    </row>
    <row r="3" spans="7:13">
      <c r="G3" t="s">
        <v>261</v>
      </c>
      <c r="H3" t="s">
        <v>262</v>
      </c>
      <c r="I3" t="s">
        <v>263</v>
      </c>
      <c r="M3" s="5"/>
    </row>
    <row r="4" spans="7:13">
      <c r="G4" t="s">
        <v>2</v>
      </c>
      <c r="H4" t="s">
        <v>264</v>
      </c>
      <c r="I4" t="s">
        <v>265</v>
      </c>
      <c r="M4" s="5"/>
    </row>
    <row r="5" spans="7:13">
      <c r="H5" t="s">
        <v>266</v>
      </c>
      <c r="I5" t="s">
        <v>267</v>
      </c>
    </row>
    <row r="6" spans="7:13">
      <c r="H6" t="s">
        <v>268</v>
      </c>
      <c r="I6" t="s">
        <v>269</v>
      </c>
    </row>
    <row r="7" spans="7:13">
      <c r="H7" t="s">
        <v>270</v>
      </c>
      <c r="I7" t="s">
        <v>271</v>
      </c>
    </row>
    <row r="8" spans="7:13">
      <c r="H8" t="s">
        <v>272</v>
      </c>
      <c r="I8" t="s">
        <v>273</v>
      </c>
    </row>
    <row r="9" spans="7:13">
      <c r="H9" t="s">
        <v>274</v>
      </c>
      <c r="I9" t="s">
        <v>275</v>
      </c>
    </row>
    <row r="10" spans="7:13">
      <c r="H10" t="s">
        <v>276</v>
      </c>
      <c r="I10" t="s">
        <v>277</v>
      </c>
    </row>
    <row r="11" spans="7:13">
      <c r="H11" t="s">
        <v>278</v>
      </c>
      <c r="I11" t="s">
        <v>279</v>
      </c>
    </row>
    <row r="12" spans="7:13">
      <c r="H12" t="s">
        <v>280</v>
      </c>
      <c r="I12" t="s">
        <v>281</v>
      </c>
    </row>
    <row r="13" spans="7:13">
      <c r="H13" t="s">
        <v>282</v>
      </c>
      <c r="I13" t="s">
        <v>283</v>
      </c>
    </row>
    <row r="14" spans="7:13">
      <c r="H14" t="s">
        <v>284</v>
      </c>
      <c r="I14" t="s">
        <v>285</v>
      </c>
    </row>
    <row r="15" spans="7:13">
      <c r="H15" t="s">
        <v>286</v>
      </c>
      <c r="I15" t="s">
        <v>287</v>
      </c>
    </row>
    <row r="16" spans="7:13">
      <c r="H16" t="s">
        <v>288</v>
      </c>
      <c r="I16" t="s">
        <v>289</v>
      </c>
    </row>
    <row r="17" spans="9:9">
      <c r="I17" t="s">
        <v>290</v>
      </c>
    </row>
    <row r="18" spans="9:9">
      <c r="I18" t="s">
        <v>291</v>
      </c>
    </row>
    <row r="19" spans="9:9">
      <c r="I19" t="s">
        <v>292</v>
      </c>
    </row>
    <row r="20" spans="9:9">
      <c r="I20" t="s">
        <v>293</v>
      </c>
    </row>
    <row r="21" spans="9:9">
      <c r="I21" t="s">
        <v>294</v>
      </c>
    </row>
    <row r="22" spans="9:9">
      <c r="I22" t="s">
        <v>295</v>
      </c>
    </row>
    <row r="23" spans="9:9">
      <c r="I23" t="s">
        <v>296</v>
      </c>
    </row>
    <row r="24" spans="9:9">
      <c r="I24" t="s">
        <v>3</v>
      </c>
    </row>
    <row r="25" spans="9:9">
      <c r="I25" t="s">
        <v>297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3"/>
  <dimension ref="B2:M9"/>
  <sheetViews>
    <sheetView workbookViewId="0">
      <selection activeCell="M23" sqref="M23"/>
    </sheetView>
  </sheetViews>
  <sheetFormatPr defaultRowHeight="15"/>
  <cols>
    <col min="3" max="3" width="38.5703125" customWidth="1"/>
    <col min="4" max="4" width="10.140625" bestFit="1" customWidth="1"/>
    <col min="7" max="7" width="10.140625" bestFit="1" customWidth="1"/>
  </cols>
  <sheetData>
    <row r="2" spans="2:13" ht="72" customHeight="1">
      <c r="B2" s="3">
        <v>1</v>
      </c>
      <c r="C2" s="2" t="s">
        <v>298</v>
      </c>
      <c r="D2" s="1">
        <v>44757</v>
      </c>
    </row>
    <row r="3" spans="2:13">
      <c r="G3" s="1">
        <v>44757</v>
      </c>
      <c r="H3" s="6">
        <v>0.375</v>
      </c>
      <c r="I3" s="6">
        <v>0.58333333333333337</v>
      </c>
      <c r="J3" s="6">
        <f t="shared" ref="J3:J9" si="0">I3-H3</f>
        <v>0.20833333333333337</v>
      </c>
      <c r="L3" t="s">
        <v>299</v>
      </c>
      <c r="M3" s="78">
        <f>SUM(J3:J8)*24*2.5</f>
        <v>67.500000000000014</v>
      </c>
    </row>
    <row r="4" spans="2:13">
      <c r="G4" s="1">
        <v>44763</v>
      </c>
      <c r="H4" s="6">
        <v>0.58333333333333337</v>
      </c>
      <c r="I4" s="6">
        <v>0.70833333333333337</v>
      </c>
      <c r="J4" s="6">
        <f t="shared" si="0"/>
        <v>0.125</v>
      </c>
    </row>
    <row r="5" spans="2:13">
      <c r="G5" s="1">
        <v>44767</v>
      </c>
      <c r="H5" s="6">
        <v>0.45833333333333331</v>
      </c>
      <c r="I5" s="6">
        <v>0.70833333333333337</v>
      </c>
      <c r="J5" s="6">
        <f t="shared" si="0"/>
        <v>0.25000000000000006</v>
      </c>
    </row>
    <row r="6" spans="2:13">
      <c r="G6" s="1">
        <v>44768</v>
      </c>
      <c r="H6" s="6">
        <v>0.375</v>
      </c>
      <c r="I6" s="6">
        <v>0.5</v>
      </c>
      <c r="J6" s="6">
        <f t="shared" si="0"/>
        <v>0.125</v>
      </c>
    </row>
    <row r="7" spans="2:13">
      <c r="G7" s="1">
        <v>44769</v>
      </c>
      <c r="H7" s="6">
        <v>0.5</v>
      </c>
      <c r="I7" s="6">
        <v>0.625</v>
      </c>
      <c r="J7" s="6">
        <f t="shared" si="0"/>
        <v>0.125</v>
      </c>
    </row>
    <row r="8" spans="2:13">
      <c r="G8" s="1">
        <v>44770</v>
      </c>
      <c r="H8" s="6">
        <v>0.33333333333333331</v>
      </c>
      <c r="I8" s="6">
        <v>0.625</v>
      </c>
      <c r="J8" s="6">
        <f t="shared" si="0"/>
        <v>0.29166666666666669</v>
      </c>
    </row>
    <row r="9" spans="2:13">
      <c r="G9" s="1">
        <v>44771</v>
      </c>
      <c r="H9" s="6">
        <v>0.33333333333333331</v>
      </c>
      <c r="I9" s="6">
        <v>0.5</v>
      </c>
      <c r="J9" s="6">
        <f t="shared" si="0"/>
        <v>0.16666666666666669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Лист4"/>
  <dimension ref="B2:J9"/>
  <sheetViews>
    <sheetView workbookViewId="0">
      <selection activeCell="D9" sqref="D9"/>
    </sheetView>
  </sheetViews>
  <sheetFormatPr defaultRowHeight="15"/>
  <cols>
    <col min="3" max="3" width="42.85546875" bestFit="1" customWidth="1"/>
    <col min="4" max="4" width="21.5703125" bestFit="1" customWidth="1"/>
    <col min="5" max="5" width="23.28515625" bestFit="1" customWidth="1"/>
    <col min="6" max="6" width="23.42578125" bestFit="1" customWidth="1"/>
    <col min="7" max="7" width="29.140625" customWidth="1"/>
    <col min="8" max="8" width="28.5703125" bestFit="1" customWidth="1"/>
    <col min="9" max="9" width="21" bestFit="1" customWidth="1"/>
    <col min="10" max="10" width="28.28515625" bestFit="1" customWidth="1"/>
  </cols>
  <sheetData>
    <row r="2" spans="2:10">
      <c r="B2" t="s">
        <v>169</v>
      </c>
      <c r="C2" t="s">
        <v>237</v>
      </c>
      <c r="D2" t="s">
        <v>300</v>
      </c>
      <c r="E2" t="s">
        <v>301</v>
      </c>
      <c r="F2" t="s">
        <v>302</v>
      </c>
      <c r="G2" t="s">
        <v>303</v>
      </c>
      <c r="H2" t="s">
        <v>304</v>
      </c>
      <c r="I2" t="s">
        <v>305</v>
      </c>
      <c r="J2" t="s">
        <v>306</v>
      </c>
    </row>
    <row r="3" spans="2:10">
      <c r="B3">
        <v>1</v>
      </c>
      <c r="C3" t="s">
        <v>307</v>
      </c>
      <c r="D3" s="4" t="s">
        <v>308</v>
      </c>
      <c r="E3" s="7">
        <v>0.6</v>
      </c>
      <c r="F3">
        <v>40</v>
      </c>
      <c r="G3">
        <v>150</v>
      </c>
      <c r="H3">
        <v>8000</v>
      </c>
      <c r="I3">
        <v>24</v>
      </c>
      <c r="J3">
        <f t="shared" ref="J3:J9" si="0">H3/I3/160/E3</f>
        <v>3.4722222222222219</v>
      </c>
    </row>
    <row r="4" spans="2:10">
      <c r="B4">
        <v>2</v>
      </c>
      <c r="C4" t="s">
        <v>309</v>
      </c>
      <c r="D4" s="4" t="s">
        <v>310</v>
      </c>
      <c r="E4" s="7">
        <v>0.6</v>
      </c>
      <c r="F4">
        <v>30</v>
      </c>
      <c r="G4">
        <v>250</v>
      </c>
      <c r="H4">
        <v>10000</v>
      </c>
      <c r="I4">
        <v>24</v>
      </c>
      <c r="J4">
        <f t="shared" si="0"/>
        <v>4.3402777777777786</v>
      </c>
    </row>
    <row r="5" spans="2:10">
      <c r="B5">
        <v>3</v>
      </c>
      <c r="C5" t="s">
        <v>311</v>
      </c>
      <c r="D5" s="4" t="s">
        <v>312</v>
      </c>
      <c r="E5" s="7">
        <v>0.6</v>
      </c>
      <c r="F5">
        <v>25</v>
      </c>
      <c r="G5">
        <v>50</v>
      </c>
      <c r="H5">
        <v>5000</v>
      </c>
      <c r="I5">
        <v>24</v>
      </c>
      <c r="J5">
        <f t="shared" si="0"/>
        <v>2.1701388888888893</v>
      </c>
    </row>
    <row r="6" spans="2:10">
      <c r="B6">
        <v>4</v>
      </c>
      <c r="C6" t="s">
        <v>313</v>
      </c>
      <c r="D6" s="4" t="s">
        <v>314</v>
      </c>
      <c r="E6" s="7">
        <v>0.6</v>
      </c>
      <c r="F6">
        <v>50</v>
      </c>
      <c r="G6">
        <v>20</v>
      </c>
      <c r="H6">
        <v>5000</v>
      </c>
      <c r="I6">
        <v>24</v>
      </c>
      <c r="J6">
        <f t="shared" si="0"/>
        <v>2.1701388888888893</v>
      </c>
    </row>
    <row r="7" spans="2:10">
      <c r="B7">
        <v>5</v>
      </c>
      <c r="C7" t="s">
        <v>315</v>
      </c>
      <c r="D7" s="4" t="s">
        <v>316</v>
      </c>
      <c r="E7" s="7">
        <v>0.6</v>
      </c>
      <c r="F7">
        <v>15</v>
      </c>
      <c r="G7">
        <v>75</v>
      </c>
      <c r="H7">
        <v>3000</v>
      </c>
      <c r="I7">
        <v>24</v>
      </c>
      <c r="J7">
        <f t="shared" si="0"/>
        <v>1.3020833333333335</v>
      </c>
    </row>
    <row r="8" spans="2:10">
      <c r="B8">
        <v>6</v>
      </c>
      <c r="C8" t="s">
        <v>317</v>
      </c>
      <c r="D8" s="4" t="s">
        <v>318</v>
      </c>
      <c r="E8" s="7">
        <v>0.6</v>
      </c>
      <c r="F8">
        <v>30</v>
      </c>
      <c r="G8">
        <v>15</v>
      </c>
      <c r="H8">
        <v>5000</v>
      </c>
      <c r="I8">
        <v>24</v>
      </c>
      <c r="J8">
        <f t="shared" si="0"/>
        <v>2.1701388888888893</v>
      </c>
    </row>
    <row r="9" spans="2:10">
      <c r="B9">
        <v>7</v>
      </c>
      <c r="C9" t="s">
        <v>319</v>
      </c>
      <c r="D9" s="4" t="s">
        <v>320</v>
      </c>
      <c r="E9" s="7">
        <v>0.6</v>
      </c>
      <c r="F9">
        <v>30</v>
      </c>
      <c r="G9">
        <v>15</v>
      </c>
      <c r="H9">
        <v>3000</v>
      </c>
      <c r="I9">
        <v>24</v>
      </c>
      <c r="J9">
        <f t="shared" si="0"/>
        <v>1.3020833333333335</v>
      </c>
    </row>
  </sheetData>
  <hyperlinks>
    <hyperlink ref="D3" location="E001A!A1" display="E001A" xr:uid="{00000000-0004-0000-0F00-000000000000}"/>
    <hyperlink ref="D4" location="E001B!A1" display="E001B" xr:uid="{00000000-0004-0000-0F00-000001000000}"/>
    <hyperlink ref="D5" location="E001С!A1" display="E001С" xr:uid="{00000000-0004-0000-0F00-000002000000}"/>
    <hyperlink ref="D6" location="E001D!A1" display="E001D" xr:uid="{00000000-0004-0000-0F00-000003000000}"/>
    <hyperlink ref="D7" location="E002B!A1" display="E002B" xr:uid="{00000000-0004-0000-0F00-000004000000}"/>
    <hyperlink ref="D8" location="E001E!A1" display="E001E" xr:uid="{00000000-0004-0000-0F00-000005000000}"/>
    <hyperlink ref="D9" location="E001F!A1" display="E001F" xr:uid="{00000000-0004-0000-0F00-000006000000}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5"/>
  <dimension ref="B2:C4"/>
  <sheetViews>
    <sheetView workbookViewId="0">
      <selection activeCell="H34" sqref="H34"/>
    </sheetView>
  </sheetViews>
  <sheetFormatPr defaultRowHeight="15"/>
  <cols>
    <col min="2" max="2" width="28.140625" bestFit="1" customWidth="1"/>
    <col min="3" max="3" width="21.7109375" customWidth="1"/>
    <col min="4" max="4" width="23" bestFit="1" customWidth="1"/>
    <col min="5" max="5" width="26.7109375" bestFit="1" customWidth="1"/>
  </cols>
  <sheetData>
    <row r="2" spans="2:3">
      <c r="B2" t="s">
        <v>237</v>
      </c>
      <c r="C2" t="s">
        <v>319</v>
      </c>
    </row>
    <row r="3" spans="2:3">
      <c r="B3" t="s">
        <v>321</v>
      </c>
      <c r="C3">
        <v>7</v>
      </c>
    </row>
    <row r="4" spans="2:3">
      <c r="B4" t="s">
        <v>322</v>
      </c>
      <c r="C4">
        <f>0.2*Оборудование!F9/160</f>
        <v>3.7499999999999999E-2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6"/>
  <dimension ref="B2:C4"/>
  <sheetViews>
    <sheetView workbookViewId="0">
      <selection activeCell="C19" sqref="C19"/>
    </sheetView>
  </sheetViews>
  <sheetFormatPr defaultRowHeight="15"/>
  <cols>
    <col min="2" max="2" width="51.28515625" bestFit="1" customWidth="1"/>
    <col min="3" max="3" width="42.85546875" bestFit="1" customWidth="1"/>
  </cols>
  <sheetData>
    <row r="2" spans="2:3">
      <c r="B2" t="s">
        <v>237</v>
      </c>
      <c r="C2" t="s">
        <v>317</v>
      </c>
    </row>
    <row r="3" spans="2:3">
      <c r="B3" t="s">
        <v>323</v>
      </c>
      <c r="C3">
        <v>100</v>
      </c>
    </row>
    <row r="4" spans="2:3">
      <c r="B4" t="s">
        <v>322</v>
      </c>
      <c r="C4">
        <f>0.2*Оборудование!F8/160</f>
        <v>3.7499999999999999E-2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8"/>
  <dimension ref="B2:C5"/>
  <sheetViews>
    <sheetView workbookViewId="0">
      <selection activeCell="F31" sqref="F31"/>
    </sheetView>
  </sheetViews>
  <sheetFormatPr defaultRowHeight="15"/>
  <cols>
    <col min="2" max="2" width="40.28515625" bestFit="1" customWidth="1"/>
    <col min="3" max="3" width="42.85546875" bestFit="1" customWidth="1"/>
    <col min="4" max="4" width="28.85546875" bestFit="1" customWidth="1"/>
  </cols>
  <sheetData>
    <row r="2" spans="2:3">
      <c r="B2" t="s">
        <v>237</v>
      </c>
      <c r="C2" t="s">
        <v>313</v>
      </c>
    </row>
    <row r="3" spans="2:3">
      <c r="B3" t="s">
        <v>324</v>
      </c>
      <c r="C3">
        <v>300</v>
      </c>
    </row>
    <row r="4" spans="2:3">
      <c r="B4" t="s">
        <v>325</v>
      </c>
      <c r="C4">
        <v>90</v>
      </c>
    </row>
    <row r="5" spans="2:3">
      <c r="B5" t="s">
        <v>326</v>
      </c>
      <c r="C5">
        <f>0.2*Оборудование!F6/160</f>
        <v>6.25E-2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9"/>
  <dimension ref="B2:C5"/>
  <sheetViews>
    <sheetView workbookViewId="0">
      <selection activeCell="E31" sqref="E31"/>
    </sheetView>
  </sheetViews>
  <sheetFormatPr defaultRowHeight="15"/>
  <cols>
    <col min="2" max="2" width="57.42578125" bestFit="1" customWidth="1"/>
    <col min="3" max="3" width="42.85546875" bestFit="1" customWidth="1"/>
    <col min="4" max="4" width="26" bestFit="1" customWidth="1"/>
  </cols>
  <sheetData>
    <row r="2" spans="2:3">
      <c r="B2" t="s">
        <v>237</v>
      </c>
      <c r="C2" t="s">
        <v>311</v>
      </c>
    </row>
    <row r="3" spans="2:3">
      <c r="B3" t="s">
        <v>327</v>
      </c>
      <c r="C3">
        <v>80</v>
      </c>
    </row>
    <row r="4" spans="2:3">
      <c r="B4" t="s">
        <v>328</v>
      </c>
      <c r="C4">
        <v>10</v>
      </c>
    </row>
    <row r="5" spans="2:3">
      <c r="B5" t="s">
        <v>329</v>
      </c>
      <c r="C5">
        <f>0.2*Оборудование!F5/160</f>
        <v>3.125E-2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Лист7"/>
  <dimension ref="B2:C6"/>
  <sheetViews>
    <sheetView workbookViewId="0">
      <selection activeCell="B3" sqref="B3"/>
    </sheetView>
  </sheetViews>
  <sheetFormatPr defaultRowHeight="15"/>
  <cols>
    <col min="2" max="2" width="28.140625" bestFit="1" customWidth="1"/>
    <col min="3" max="3" width="42.85546875" bestFit="1" customWidth="1"/>
  </cols>
  <sheetData>
    <row r="2" spans="2:3">
      <c r="B2" t="s">
        <v>237</v>
      </c>
      <c r="C2" t="s">
        <v>330</v>
      </c>
    </row>
    <row r="3" spans="2:3">
      <c r="B3" t="s">
        <v>331</v>
      </c>
      <c r="C3">
        <v>1800</v>
      </c>
    </row>
    <row r="4" spans="2:3">
      <c r="B4" t="s">
        <v>332</v>
      </c>
      <c r="C4">
        <v>1.2</v>
      </c>
    </row>
    <row r="5" spans="2:3">
      <c r="B5" t="s">
        <v>333</v>
      </c>
      <c r="C5" s="78">
        <f>8.9*PI()*C4^2/4*C3*60*160/1000</f>
        <v>173934.65425711733</v>
      </c>
    </row>
    <row r="6" spans="2:3">
      <c r="B6" t="s">
        <v>334</v>
      </c>
      <c r="C6">
        <f>0.2*Оборудование!F4/C5</f>
        <v>3.4495713494394013E-5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Лист10"/>
  <dimension ref="B2:C6"/>
  <sheetViews>
    <sheetView workbookViewId="0">
      <selection activeCell="K29" sqref="K29"/>
    </sheetView>
  </sheetViews>
  <sheetFormatPr defaultRowHeight="15"/>
  <cols>
    <col min="2" max="2" width="35.7109375" bestFit="1" customWidth="1"/>
    <col min="3" max="3" width="36.85546875" bestFit="1" customWidth="1"/>
  </cols>
  <sheetData>
    <row r="2" spans="2:3">
      <c r="B2" t="s">
        <v>237</v>
      </c>
      <c r="C2" t="s">
        <v>309</v>
      </c>
    </row>
    <row r="3" spans="2:3">
      <c r="B3" t="s">
        <v>331</v>
      </c>
      <c r="C3">
        <v>1200</v>
      </c>
    </row>
    <row r="4" spans="2:3">
      <c r="B4" t="s">
        <v>332</v>
      </c>
      <c r="C4">
        <v>1.2</v>
      </c>
    </row>
    <row r="5" spans="2:3">
      <c r="B5" t="s">
        <v>333</v>
      </c>
      <c r="C5" s="78">
        <f>8.9*PI()*C4^2/4*C3*60*160/1000</f>
        <v>115956.43617141157</v>
      </c>
    </row>
    <row r="6" spans="2:3">
      <c r="B6" t="s">
        <v>334</v>
      </c>
      <c r="C6">
        <f>0.2*Оборудование!F4/C5</f>
        <v>5.1743570241591017E-5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Лист11"/>
  <dimension ref="B2:C5"/>
  <sheetViews>
    <sheetView workbookViewId="0">
      <selection activeCell="K32" sqref="K32"/>
    </sheetView>
  </sheetViews>
  <sheetFormatPr defaultRowHeight="15"/>
  <cols>
    <col min="2" max="2" width="35.7109375" bestFit="1" customWidth="1"/>
    <col min="3" max="3" width="18" bestFit="1" customWidth="1"/>
    <col min="4" max="4" width="23.28515625" customWidth="1"/>
  </cols>
  <sheetData>
    <row r="2" spans="2:3">
      <c r="B2" t="s">
        <v>237</v>
      </c>
      <c r="C2" t="s">
        <v>307</v>
      </c>
    </row>
    <row r="3" spans="2:3">
      <c r="B3" t="s">
        <v>331</v>
      </c>
      <c r="C3">
        <v>10</v>
      </c>
    </row>
    <row r="4" spans="2:3">
      <c r="B4" t="s">
        <v>333</v>
      </c>
      <c r="C4" s="78">
        <f>8.9*PI()*8*8/4*C3*60*160/1000</f>
        <v>42946.828211633903</v>
      </c>
    </row>
    <row r="5" spans="2:3">
      <c r="B5" t="s">
        <v>334</v>
      </c>
      <c r="C5">
        <f>0.2*Оборудование!F3/C4</f>
        <v>1.8627685286972773E-4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Лист12"/>
  <dimension ref="B2:G7"/>
  <sheetViews>
    <sheetView workbookViewId="0">
      <selection activeCell="C5" sqref="C5:G5"/>
    </sheetView>
  </sheetViews>
  <sheetFormatPr defaultRowHeight="15"/>
  <cols>
    <col min="3" max="3" width="42.85546875" bestFit="1" customWidth="1"/>
    <col min="4" max="4" width="23.28515625" customWidth="1"/>
    <col min="5" max="5" width="16.42578125" customWidth="1"/>
    <col min="7" max="7" width="14.7109375" bestFit="1" customWidth="1"/>
  </cols>
  <sheetData>
    <row r="2" spans="2:7">
      <c r="B2" t="s">
        <v>169</v>
      </c>
      <c r="C2" t="s">
        <v>237</v>
      </c>
      <c r="D2" t="s">
        <v>300</v>
      </c>
      <c r="E2" t="s">
        <v>335</v>
      </c>
      <c r="F2" t="s">
        <v>336</v>
      </c>
      <c r="G2" t="s">
        <v>337</v>
      </c>
    </row>
    <row r="3" spans="2:7">
      <c r="B3">
        <v>1</v>
      </c>
      <c r="C3" t="s">
        <v>338</v>
      </c>
      <c r="D3" t="s">
        <v>339</v>
      </c>
      <c r="E3">
        <v>30</v>
      </c>
      <c r="F3">
        <f>E3*1.302</f>
        <v>39.06</v>
      </c>
      <c r="G3">
        <f>F3/160</f>
        <v>0.24412500000000001</v>
      </c>
    </row>
    <row r="4" spans="2:7">
      <c r="B4">
        <v>2</v>
      </c>
      <c r="C4" t="s">
        <v>340</v>
      </c>
      <c r="D4" t="s">
        <v>341</v>
      </c>
      <c r="E4">
        <v>30</v>
      </c>
      <c r="F4">
        <f>E4*1.302</f>
        <v>39.06</v>
      </c>
      <c r="G4">
        <f>F4/160</f>
        <v>0.24412500000000001</v>
      </c>
    </row>
    <row r="5" spans="2:7">
      <c r="B5">
        <v>3</v>
      </c>
      <c r="C5" t="s">
        <v>342</v>
      </c>
      <c r="D5" t="s">
        <v>343</v>
      </c>
      <c r="E5">
        <v>40</v>
      </c>
      <c r="F5">
        <f>E5*1.302</f>
        <v>52.08</v>
      </c>
      <c r="G5">
        <f>F5/160</f>
        <v>0.32550000000000001</v>
      </c>
    </row>
    <row r="6" spans="2:7">
      <c r="B6">
        <v>4</v>
      </c>
      <c r="C6" t="s">
        <v>344</v>
      </c>
      <c r="D6" t="s">
        <v>345</v>
      </c>
      <c r="E6">
        <v>35</v>
      </c>
      <c r="F6">
        <f>E6*1.302</f>
        <v>45.57</v>
      </c>
      <c r="G6">
        <f>F6/160</f>
        <v>0.28481250000000002</v>
      </c>
    </row>
    <row r="7" spans="2:7">
      <c r="B7">
        <v>5</v>
      </c>
      <c r="C7" t="s">
        <v>346</v>
      </c>
      <c r="D7" t="s">
        <v>347</v>
      </c>
      <c r="E7">
        <v>50</v>
      </c>
      <c r="F7">
        <f>E7*1.302</f>
        <v>65.100000000000009</v>
      </c>
      <c r="G7">
        <f>F7/160</f>
        <v>0.40687500000000004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24</vt:i4>
      </vt:variant>
    </vt:vector>
  </HeadingPairs>
  <TitlesOfParts>
    <vt:vector size="24" baseType="lpstr">
      <vt:lpstr>Марки</vt:lpstr>
      <vt:lpstr>Промежуточный</vt:lpstr>
      <vt:lpstr>Расчёт</vt:lpstr>
      <vt:lpstr>Б1</vt:lpstr>
      <vt:lpstr>Алюмофлеск</vt:lpstr>
      <vt:lpstr>ПЭТ50</vt:lpstr>
      <vt:lpstr>ПЭТ</vt:lpstr>
      <vt:lpstr>РО_Ц</vt:lpstr>
      <vt:lpstr>РО_П</vt:lpstr>
      <vt:lpstr>РО_М</vt:lpstr>
      <vt:lpstr>Материалы</vt:lpstr>
      <vt:lpstr>слюда</vt:lpstr>
      <vt:lpstr>скрутка</vt:lpstr>
      <vt:lpstr>Генератор</vt:lpstr>
      <vt:lpstr>Версии</vt:lpstr>
      <vt:lpstr>Оборудование</vt:lpstr>
      <vt:lpstr>E001F</vt:lpstr>
      <vt:lpstr>E001E</vt:lpstr>
      <vt:lpstr>E001D</vt:lpstr>
      <vt:lpstr>E001С</vt:lpstr>
      <vt:lpstr>E002B</vt:lpstr>
      <vt:lpstr>E001B</vt:lpstr>
      <vt:lpstr>E001A</vt:lpstr>
      <vt:lpstr>Персонал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Denis Kaverin</dc:creator>
  <cp:lastModifiedBy>Matvey Mazalov</cp:lastModifiedBy>
  <cp:lastPrinted>2022-07-25T08:58:39Z</cp:lastPrinted>
  <dcterms:created xsi:type="dcterms:W3CDTF">2015-06-05T18:19:34Z</dcterms:created>
  <dcterms:modified xsi:type="dcterms:W3CDTF">2022-08-25T13:46:59Z</dcterms:modified>
</cp:coreProperties>
</file>